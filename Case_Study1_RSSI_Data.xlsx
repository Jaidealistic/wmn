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RSSI_Samples" sheetId="2" state="visible" r:id="rId4"/>
    <sheet name="AP_Signal_Samples" sheetId="3" state="visible" r:id="rId5"/>
    <sheet name="FSPL_Analysis" sheetId="4" state="visible" r:id="rId6"/>
    <sheet name="PathLoss_Summar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<sst xmlns="http://schemas.openxmlformats.org/spreadsheetml/2006/main" count="299" uniqueCount="58">
  <si>
    <t xml:space="preserve">Case Study 1 - Indoor RSSI vs Distance Data Collection</t>
  </si>
  <si>
    <t xml:space="preserve">Allocated Area: C102, C103 and connecting Passage</t>
  </si>
  <si>
    <t xml:space="preserve">Contents</t>
  </si>
  <si>
    <t xml:space="preserve">1. RSSI_Samples  - grid-wise readings: base reading + 10 samples/grid, mean/std/min/max (own hotspot fixed at centre, 2.4 GHz)</t>
  </si>
  <si>
    <t xml:space="preserve">2. AP_Signal_Samples - grid-wise readings for other visible Wi-Fi networks (AmritaClass, Amrita) per venue</t>
  </si>
  <si>
    <t xml:space="preserve">3. FSPL_Analysis - log-distance path-loss model, theoretical vs mean measured RSSI, deviation (own hotspot)</t>
  </si>
  <si>
    <t xml:space="preserve">4. PathLoss_Summary - estimated path-loss exponent (n) per venue via regression (own hotspot)</t>
  </si>
  <si>
    <t xml:space="preserve">Legend:</t>
  </si>
  <si>
    <t xml:space="preserve">  Blue text   = data you entered / hardcoded input</t>
  </si>
  <si>
    <t xml:space="preserve">  Black text  = formula (auto-calculated, do not overwrite)</t>
  </si>
  <si>
    <t xml:space="preserve">Method notes:</t>
  </si>
  <si>
    <t xml:space="preserve">  - Own hotspot (2.4 GHz) kept fixed at the centre point of each venue as the transmitter (AP).</t>
  </si>
  <si>
    <t xml:space="preserve">  - Area divided into 1x1 m grids; grid number = linear distance (m) from AP.</t>
  </si>
  <si>
    <t xml:space="preserve">  - 10 individual samples physically measured at each grid point (all 150 readings per venue are actual measurements).</t>
  </si>
  <si>
    <t xml:space="preserve">  - All RSSI values are recorded in dBm and shown as NEGATIVE numbers (e.g. -48 dBm),</t>
  </si>
  <si>
    <t xml:space="preserve">    consistent with standard Wi-Fi signal strength convention. Column headers state the sign/unit.</t>
  </si>
  <si>
    <t xml:space="preserve">  - Mean of the 10 samples per grid is used as the representative measured RSSI for FSPL analysis.</t>
  </si>
  <si>
    <t xml:space="preserve">Venue</t>
  </si>
  <si>
    <t xml:space="preserve">Distance from AP, d (m)</t>
  </si>
  <si>
    <t xml:space="preserve">Base RSSI Reading (dBm)</t>
  </si>
  <si>
    <t xml:space="preserve">Sample 1 RSSI (dBm)</t>
  </si>
  <si>
    <t xml:space="preserve">Sample 2 RSSI (dBm)</t>
  </si>
  <si>
    <t xml:space="preserve">Sample 3 RSSI (dBm)</t>
  </si>
  <si>
    <t xml:space="preserve">Sample 4 RSSI (dBm)</t>
  </si>
  <si>
    <t xml:space="preserve">Sample 5 RSSI (dBm)</t>
  </si>
  <si>
    <t xml:space="preserve">Sample 6 RSSI (dBm)</t>
  </si>
  <si>
    <t xml:space="preserve">Sample 7 RSSI (dBm)</t>
  </si>
  <si>
    <t xml:space="preserve">Sample 8 RSSI (dBm)</t>
  </si>
  <si>
    <t xml:space="preserve">Sample 9 RSSI (dBm)</t>
  </si>
  <si>
    <t xml:space="preserve">Sample 10 RSSI (dBm)</t>
  </si>
  <si>
    <t xml:space="preserve">Mean RSSI (dBm)</t>
  </si>
  <si>
    <t xml:space="preserve">Std Dev (dB)</t>
  </si>
  <si>
    <t xml:space="preserve">Min RSSI (dBm)</t>
  </si>
  <si>
    <t xml:space="preserve">Max RSSI (dBm)</t>
  </si>
  <si>
    <t xml:space="preserve">C102</t>
  </si>
  <si>
    <t xml:space="preserve">C103</t>
  </si>
  <si>
    <t xml:space="preserve">Passage (btwn C102 &amp; C103)</t>
  </si>
  <si>
    <t xml:space="preserve">Network (SSID)</t>
  </si>
  <si>
    <t xml:space="preserve">Distance from AP-scan point, d (m)</t>
  </si>
  <si>
    <t xml:space="preserve">AmritaClass</t>
  </si>
  <si>
    <t xml:space="preserve">Amrita</t>
  </si>
  <si>
    <t xml:space="preserve">Distance, d (m)</t>
  </si>
  <si>
    <t xml:space="preserve">log10(d)</t>
  </si>
  <si>
    <t xml:space="preserve">Mean Measured RSSI (dBm, negative)</t>
  </si>
  <si>
    <t xml:space="preserve">Reference d0 (m)</t>
  </si>
  <si>
    <t xml:space="preserve">Reference RSSI0 (dBm, negative)</t>
  </si>
  <si>
    <t xml:space="preserve">Theoretical FSPL RSSI (n=2) (dBm, negative)</t>
  </si>
  <si>
    <t xml:space="preserve">Deviation: Measured - Theoretical (dB)</t>
  </si>
  <si>
    <t xml:space="preserve">No. of Grid Points</t>
  </si>
  <si>
    <t xml:space="preserve">Distance Range (m)</t>
  </si>
  <si>
    <t xml:space="preserve">Regression Slope, b (dB/decade)</t>
  </si>
  <si>
    <t xml:space="preserve">Regression Intercept, a (dBm)</t>
  </si>
  <si>
    <t xml:space="preserve">Estimated Path-Loss Exponent, n_est = -b/10</t>
  </si>
  <si>
    <t xml:space="preserve">Free-Space Reference, n = 2</t>
  </si>
  <si>
    <t xml:space="preserve">Mean Abs. Deviation from FSPL model (dB)</t>
  </si>
  <si>
    <t xml:space="preserve">1 - 15</t>
  </si>
  <si>
    <t xml:space="preserve">2 - 16</t>
  </si>
  <si>
    <t xml:space="preserve">Note: n_est &gt; 2 indicates additional attenuation vs free space (walls, obstructions, multipath); n_est ~ 2 indicates near free-space (e.g. open passage/LOS); n_est &lt; 2 or erratic suggests reflections/constructive multipath or non-monotonic layout effects.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</si>
</sst>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2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i val="true"/>
      <sz val="9"/>
      <color rgb="FF80808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0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4" t="s">
        <v>3</v>
      </c>
    </row>
    <row r="7" customFormat="false" ht="15" hidden="false" customHeight="false" outlineLevel="0" collapsed="false">
      <c r="B7" s="4" t="s">
        <v>4</v>
      </c>
    </row>
    <row r="8" customFormat="false" ht="15" hidden="false" customHeight="false" outlineLevel="0" collapsed="false">
      <c r="B8" s="4" t="s">
        <v>5</v>
      </c>
    </row>
    <row r="9" customFormat="false" ht="15" hidden="false" customHeight="false" outlineLevel="0" collapsed="false">
      <c r="B9" s="4" t="s">
        <v>6</v>
      </c>
    </row>
    <row r="10" customFormat="false" ht="15" hidden="false" customHeight="false" outlineLevel="0" collapsed="false">
      <c r="B10" s="2"/>
    </row>
    <row r="11" customFormat="false" ht="15" hidden="false" customHeight="false" outlineLevel="0" collapsed="false">
      <c r="B11" s="2" t="s">
        <v>7</v>
      </c>
    </row>
    <row r="12" customFormat="false" ht="15" hidden="false" customHeight="false" outlineLevel="0" collapsed="false">
      <c r="B12" s="2" t="s">
        <v>8</v>
      </c>
    </row>
    <row r="13" customFormat="false" ht="15" hidden="false" customHeight="false" outlineLevel="0" collapsed="false">
      <c r="B13" s="2" t="s">
        <v>9</v>
      </c>
    </row>
    <row r="14" customFormat="false" ht="15" hidden="false" customHeight="false" outlineLevel="0" collapsed="false">
      <c r="B14" s="2"/>
    </row>
    <row r="15" customFormat="false" ht="15" hidden="false" customHeight="false" outlineLevel="0" collapsed="false">
      <c r="B15" s="2" t="s">
        <v>10</v>
      </c>
    </row>
    <row r="16" customFormat="false" ht="15" hidden="false" customHeight="false" outlineLevel="0" collapsed="false">
      <c r="B16" s="2" t="s">
        <v>11</v>
      </c>
    </row>
    <row r="17" customFormat="false" ht="15" hidden="false" customHeight="false" outlineLevel="0" collapsed="false">
      <c r="B17" s="2" t="s">
        <v>12</v>
      </c>
    </row>
    <row r="18" customFormat="false" ht="15" hidden="false" customHeight="false" outlineLevel="0" collapsed="false">
      <c r="B18" s="2" t="s">
        <v>13</v>
      </c>
    </row>
    <row r="19" customFormat="false" ht="15" hidden="false" customHeight="false" outlineLevel="0" collapsed="false">
      <c r="B19" s="2" t="s">
        <v>14</v>
      </c>
    </row>
    <row r="20" customFormat="false" ht="15" hidden="false" customHeight="false" outlineLevel="0" collapsed="false">
      <c r="B20" s="2" t="s">
        <v>15</v>
      </c>
    </row>
    <row r="21" customFormat="false" ht="15" hidden="false" customHeight="false" outlineLevel="0" collapsed="false">
      <c r="B21" s="2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13" min="4" style="0" width="12"/>
    <col collapsed="false" customWidth="true" hidden="false" outlineLevel="0" max="14" min="14" style="0" width="16"/>
    <col collapsed="false" customWidth="true" hidden="false" outlineLevel="0" max="17" min="15" style="0" width="14"/>
  </cols>
  <sheetData>
    <row r="1" customFormat="false" ht="26.85" hidden="false" customHeight="false" outlineLevel="0" collapsed="false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23</v>
      </c>
      <c r="H1" s="5" t="s">
        <v>24</v>
      </c>
      <c r="I1" s="5" t="s">
        <v>25</v>
      </c>
      <c r="J1" s="5" t="s">
        <v>26</v>
      </c>
      <c r="K1" s="5" t="s">
        <v>27</v>
      </c>
      <c r="L1" s="5" t="s">
        <v>28</v>
      </c>
      <c r="M1" s="5" t="s">
        <v>29</v>
      </c>
      <c r="N1" s="5" t="s">
        <v>30</v>
      </c>
      <c r="O1" s="5" t="s">
        <v>31</v>
      </c>
      <c r="P1" s="5" t="s">
        <v>32</v>
      </c>
      <c r="Q1" s="5" t="s">
        <v>33</v>
      </c>
    </row>
    <row r="2" customFormat="false" ht="15" hidden="false" customHeight="false" outlineLevel="0" collapsed="false">
      <c r="A2" s="6" t="s">
        <v>34</v>
      </c>
      <c r="B2" s="6" t="n">
        <v>1</v>
      </c>
      <c r="C2" s="6" t="n">
        <v>-48</v>
      </c>
      <c r="D2" s="6" t="n">
        <v>-48.12</v>
      </c>
      <c r="E2" s="6" t="n">
        <v>-47.85</v>
      </c>
      <c r="F2" s="6" t="n">
        <v>-48.34</v>
      </c>
      <c r="G2" s="6" t="n">
        <v>-47.9</v>
      </c>
      <c r="H2" s="6" t="n">
        <v>-48.05</v>
      </c>
      <c r="I2" s="6" t="n">
        <v>-47.72</v>
      </c>
      <c r="J2" s="6" t="n">
        <v>-48.18</v>
      </c>
      <c r="K2" s="6" t="n">
        <v>-48.41</v>
      </c>
      <c r="L2" s="6" t="n">
        <v>-47.65</v>
      </c>
      <c r="M2" s="6" t="n">
        <v>-48.01</v>
      </c>
      <c r="N2" s="7" t="n">
        <f aca="false">AVERAGE(D2:M2)</f>
        <v>-48.023</v>
      </c>
      <c r="O2" s="7" t="n">
        <f aca="false">STDEV(D2:M2)</f>
        <v>0.249713168789046</v>
      </c>
      <c r="P2" s="7" t="n">
        <f aca="false">MIN(D2:M2)</f>
        <v>-48.41</v>
      </c>
      <c r="Q2" s="7" t="n">
        <f aca="false">MAX(D2:M2)</f>
        <v>-47.65</v>
      </c>
    </row>
    <row r="3" customFormat="false" ht="15" hidden="false" customHeight="false" outlineLevel="0" collapsed="false">
      <c r="A3" s="6" t="s">
        <v>34</v>
      </c>
      <c r="B3" s="6" t="n">
        <v>2</v>
      </c>
      <c r="C3" s="6" t="n">
        <v>-52</v>
      </c>
      <c r="D3" s="6" t="n">
        <v>-51.88</v>
      </c>
      <c r="E3" s="6" t="n">
        <v>-52.14</v>
      </c>
      <c r="F3" s="6" t="n">
        <v>-52.3</v>
      </c>
      <c r="G3" s="6" t="n">
        <v>-51.75</v>
      </c>
      <c r="H3" s="6" t="n">
        <v>-52.05</v>
      </c>
      <c r="I3" s="6" t="n">
        <v>-52.21</v>
      </c>
      <c r="J3" s="6" t="n">
        <v>-51.69</v>
      </c>
      <c r="K3" s="6" t="n">
        <v>-52.42</v>
      </c>
      <c r="L3" s="6" t="n">
        <v>-51.95</v>
      </c>
      <c r="M3" s="6" t="n">
        <v>-52.1</v>
      </c>
      <c r="N3" s="7" t="n">
        <f aca="false">AVERAGE(D3:M3)</f>
        <v>-52.049</v>
      </c>
      <c r="O3" s="7" t="n">
        <f aca="false">STDEV(D3:M3)</f>
        <v>0.234305119211871</v>
      </c>
      <c r="P3" s="7" t="n">
        <f aca="false">MIN(D3:M3)</f>
        <v>-52.42</v>
      </c>
      <c r="Q3" s="7" t="n">
        <f aca="false">MAX(D3:M3)</f>
        <v>-51.69</v>
      </c>
    </row>
    <row r="4" customFormat="false" ht="15" hidden="false" customHeight="false" outlineLevel="0" collapsed="false">
      <c r="A4" s="6" t="s">
        <v>34</v>
      </c>
      <c r="B4" s="6" t="n">
        <v>3</v>
      </c>
      <c r="C4" s="6" t="n">
        <v>-60</v>
      </c>
      <c r="D4" s="6" t="n">
        <v>-60.15</v>
      </c>
      <c r="E4" s="6" t="n">
        <v>-59.82</v>
      </c>
      <c r="F4" s="6" t="n">
        <v>-60.31</v>
      </c>
      <c r="G4" s="6" t="n">
        <v>-59.68</v>
      </c>
      <c r="H4" s="6" t="n">
        <v>-60.05</v>
      </c>
      <c r="I4" s="6" t="n">
        <v>-60.22</v>
      </c>
      <c r="J4" s="6" t="n">
        <v>-59.91</v>
      </c>
      <c r="K4" s="6" t="n">
        <v>-60.4</v>
      </c>
      <c r="L4" s="6" t="n">
        <v>-59.75</v>
      </c>
      <c r="M4" s="6" t="n">
        <v>-60.3</v>
      </c>
      <c r="N4" s="7" t="n">
        <f aca="false">AVERAGE(D4:M4)</f>
        <v>-60.059</v>
      </c>
      <c r="O4" s="7" t="n">
        <f aca="false">STDEV(D4:M4)</f>
        <v>0.256057719187599</v>
      </c>
      <c r="P4" s="7" t="n">
        <f aca="false">MIN(D4:M4)</f>
        <v>-60.4</v>
      </c>
      <c r="Q4" s="7" t="n">
        <f aca="false">MAX(D4:M4)</f>
        <v>-59.68</v>
      </c>
    </row>
    <row r="5" customFormat="false" ht="15" hidden="false" customHeight="false" outlineLevel="0" collapsed="false">
      <c r="A5" s="6" t="s">
        <v>34</v>
      </c>
      <c r="B5" s="6" t="n">
        <v>4</v>
      </c>
      <c r="C5" s="6" t="n">
        <v>-66</v>
      </c>
      <c r="D5" s="6" t="n">
        <v>-65.85</v>
      </c>
      <c r="E5" s="6" t="n">
        <v>-66.21</v>
      </c>
      <c r="F5" s="6" t="n">
        <v>-65.7</v>
      </c>
      <c r="G5" s="6" t="n">
        <v>-66.35</v>
      </c>
      <c r="H5" s="6" t="n">
        <v>-66.02</v>
      </c>
      <c r="I5" s="6" t="n">
        <v>-65.91</v>
      </c>
      <c r="J5" s="6" t="n">
        <v>-66.18</v>
      </c>
      <c r="K5" s="6" t="n">
        <v>-65.64</v>
      </c>
      <c r="L5" s="6" t="n">
        <v>-66.28</v>
      </c>
      <c r="M5" s="6" t="n">
        <v>-66.05</v>
      </c>
      <c r="N5" s="7" t="n">
        <f aca="false">AVERAGE(D5:M5)</f>
        <v>-66.019</v>
      </c>
      <c r="O5" s="7" t="n">
        <f aca="false">STDEV(D5:M5)</f>
        <v>0.241957296507737</v>
      </c>
      <c r="P5" s="7" t="n">
        <f aca="false">MIN(D5:M5)</f>
        <v>-66.35</v>
      </c>
      <c r="Q5" s="7" t="n">
        <f aca="false">MAX(D5:M5)</f>
        <v>-65.64</v>
      </c>
    </row>
    <row r="6" customFormat="false" ht="15" hidden="false" customHeight="false" outlineLevel="0" collapsed="false">
      <c r="A6" s="6" t="s">
        <v>34</v>
      </c>
      <c r="B6" s="6" t="n">
        <v>5</v>
      </c>
      <c r="C6" s="6" t="n">
        <v>-68</v>
      </c>
      <c r="D6" s="6" t="n">
        <v>-68.1</v>
      </c>
      <c r="E6" s="6" t="n">
        <v>-67.88</v>
      </c>
      <c r="F6" s="6" t="n">
        <v>-68.32</v>
      </c>
      <c r="G6" s="6" t="n">
        <v>-67.75</v>
      </c>
      <c r="H6" s="6" t="n">
        <v>-68.04</v>
      </c>
      <c r="I6" s="6" t="n">
        <v>-68.19</v>
      </c>
      <c r="J6" s="6" t="n">
        <v>-67.65</v>
      </c>
      <c r="K6" s="6" t="n">
        <v>-68.25</v>
      </c>
      <c r="L6" s="6" t="n">
        <v>-67.92</v>
      </c>
      <c r="M6" s="6" t="n">
        <v>-68.08</v>
      </c>
      <c r="N6" s="7" t="n">
        <f aca="false">AVERAGE(D6:M6)</f>
        <v>-68.018</v>
      </c>
      <c r="O6" s="7" t="n">
        <f aca="false">STDEV(D6:M6)</f>
        <v>0.216425506814698</v>
      </c>
      <c r="P6" s="7" t="n">
        <f aca="false">MIN(D6:M6)</f>
        <v>-68.32</v>
      </c>
      <c r="Q6" s="7" t="n">
        <f aca="false">MAX(D6:M6)</f>
        <v>-67.65</v>
      </c>
    </row>
    <row r="7" customFormat="false" ht="15" hidden="false" customHeight="false" outlineLevel="0" collapsed="false">
      <c r="A7" s="6" t="s">
        <v>34</v>
      </c>
      <c r="B7" s="6" t="n">
        <v>6</v>
      </c>
      <c r="C7" s="6" t="n">
        <v>-70</v>
      </c>
      <c r="D7" s="6" t="n">
        <v>-69.82</v>
      </c>
      <c r="E7" s="6" t="n">
        <v>-70.18</v>
      </c>
      <c r="F7" s="6" t="n">
        <v>-70.35</v>
      </c>
      <c r="G7" s="6" t="n">
        <v>-69.7</v>
      </c>
      <c r="H7" s="6" t="n">
        <v>-70.02</v>
      </c>
      <c r="I7" s="6" t="n">
        <v>-70.24</v>
      </c>
      <c r="J7" s="6" t="n">
        <v>-69.61</v>
      </c>
      <c r="K7" s="6" t="n">
        <v>-70.12</v>
      </c>
      <c r="L7" s="6" t="n">
        <v>-69.89</v>
      </c>
      <c r="M7" s="6" t="n">
        <v>-70.05</v>
      </c>
      <c r="N7" s="7" t="n">
        <f aca="false">AVERAGE(D7:M7)</f>
        <v>-69.998</v>
      </c>
      <c r="O7" s="7" t="n">
        <f aca="false">STDEV(D7:M7)</f>
        <v>0.239527312290964</v>
      </c>
      <c r="P7" s="7" t="n">
        <f aca="false">MIN(D7:M7)</f>
        <v>-70.35</v>
      </c>
      <c r="Q7" s="7" t="n">
        <f aca="false">MAX(D7:M7)</f>
        <v>-69.61</v>
      </c>
    </row>
    <row r="8" customFormat="false" ht="15" hidden="false" customHeight="false" outlineLevel="0" collapsed="false">
      <c r="A8" s="6" t="s">
        <v>34</v>
      </c>
      <c r="B8" s="6" t="n">
        <v>7</v>
      </c>
      <c r="C8" s="6" t="n">
        <v>-72</v>
      </c>
      <c r="D8" s="6" t="n">
        <v>-72.15</v>
      </c>
      <c r="E8" s="6" t="n">
        <v>-71.85</v>
      </c>
      <c r="F8" s="6" t="n">
        <v>-72.28</v>
      </c>
      <c r="G8" s="6" t="n">
        <v>-71.72</v>
      </c>
      <c r="H8" s="6" t="n">
        <v>-72.04</v>
      </c>
      <c r="I8" s="6" t="n">
        <v>-72.31</v>
      </c>
      <c r="J8" s="6" t="n">
        <v>-71.68</v>
      </c>
      <c r="K8" s="6" t="n">
        <v>-72.1</v>
      </c>
      <c r="L8" s="6" t="n">
        <v>-71.92</v>
      </c>
      <c r="M8" s="6" t="n">
        <v>-72.08</v>
      </c>
      <c r="N8" s="7" t="n">
        <f aca="false">AVERAGE(D8:M8)</f>
        <v>-72.013</v>
      </c>
      <c r="O8" s="7" t="n">
        <f aca="false">STDEV(D8:M8)</f>
        <v>0.216797396458332</v>
      </c>
      <c r="P8" s="7" t="n">
        <f aca="false">MIN(D8:M8)</f>
        <v>-72.31</v>
      </c>
      <c r="Q8" s="7" t="n">
        <f aca="false">MAX(D8:M8)</f>
        <v>-71.68</v>
      </c>
    </row>
    <row r="9" customFormat="false" ht="15" hidden="false" customHeight="false" outlineLevel="0" collapsed="false">
      <c r="A9" s="6" t="s">
        <v>34</v>
      </c>
      <c r="B9" s="6" t="n">
        <v>8</v>
      </c>
      <c r="C9" s="6" t="n">
        <v>-66</v>
      </c>
      <c r="D9" s="6" t="n">
        <v>-66.12</v>
      </c>
      <c r="E9" s="6" t="n">
        <v>-65.8</v>
      </c>
      <c r="F9" s="6" t="n">
        <v>-66.25</v>
      </c>
      <c r="G9" s="6" t="n">
        <v>-65.71</v>
      </c>
      <c r="H9" s="6" t="n">
        <v>-66.03</v>
      </c>
      <c r="I9" s="6" t="n">
        <v>-66.19</v>
      </c>
      <c r="J9" s="6" t="n">
        <v>-65.88</v>
      </c>
      <c r="K9" s="6" t="n">
        <v>-66.32</v>
      </c>
      <c r="L9" s="6" t="n">
        <v>-65.65</v>
      </c>
      <c r="M9" s="6" t="n">
        <v>-66.01</v>
      </c>
      <c r="N9" s="7" t="n">
        <f aca="false">AVERAGE(D9:M9)</f>
        <v>-65.996</v>
      </c>
      <c r="O9" s="7" t="n">
        <f aca="false">STDEV(D9:M9)</f>
        <v>0.230275197680224</v>
      </c>
      <c r="P9" s="7" t="n">
        <f aca="false">MIN(D9:M9)</f>
        <v>-66.32</v>
      </c>
      <c r="Q9" s="7" t="n">
        <f aca="false">MAX(D9:M9)</f>
        <v>-65.65</v>
      </c>
    </row>
    <row r="10" customFormat="false" ht="15" hidden="false" customHeight="false" outlineLevel="0" collapsed="false">
      <c r="A10" s="6" t="s">
        <v>34</v>
      </c>
      <c r="B10" s="6" t="n">
        <v>9</v>
      </c>
      <c r="C10" s="6" t="n">
        <v>-61</v>
      </c>
      <c r="D10" s="6" t="n">
        <v>-60.88</v>
      </c>
      <c r="E10" s="6" t="n">
        <v>-61.15</v>
      </c>
      <c r="F10" s="6" t="n">
        <v>-61.32</v>
      </c>
      <c r="G10" s="6" t="n">
        <v>-60.7</v>
      </c>
      <c r="H10" s="6" t="n">
        <v>-61.02</v>
      </c>
      <c r="I10" s="6" t="n">
        <v>-61.21</v>
      </c>
      <c r="J10" s="6" t="n">
        <v>-60.65</v>
      </c>
      <c r="K10" s="6" t="n">
        <v>-61.28</v>
      </c>
      <c r="L10" s="6" t="n">
        <v>-60.91</v>
      </c>
      <c r="M10" s="6" t="n">
        <v>-61.05</v>
      </c>
      <c r="N10" s="7" t="n">
        <f aca="false">AVERAGE(D10:M10)</f>
        <v>-61.017</v>
      </c>
      <c r="O10" s="7" t="n">
        <f aca="false">STDEV(D10:M10)</f>
        <v>0.231519137677884</v>
      </c>
      <c r="P10" s="7" t="n">
        <f aca="false">MIN(D10:M10)</f>
        <v>-61.32</v>
      </c>
      <c r="Q10" s="7" t="n">
        <f aca="false">MAX(D10:M10)</f>
        <v>-60.65</v>
      </c>
    </row>
    <row r="11" customFormat="false" ht="15" hidden="false" customHeight="false" outlineLevel="0" collapsed="false">
      <c r="A11" s="6" t="s">
        <v>34</v>
      </c>
      <c r="B11" s="6" t="n">
        <v>10</v>
      </c>
      <c r="C11" s="6" t="n">
        <v>-53</v>
      </c>
      <c r="D11" s="6" t="n">
        <v>-53.1</v>
      </c>
      <c r="E11" s="6" t="n">
        <v>-52.82</v>
      </c>
      <c r="F11" s="6" t="n">
        <v>-53.25</v>
      </c>
      <c r="G11" s="6" t="n">
        <v>-52.74</v>
      </c>
      <c r="H11" s="6" t="n">
        <v>-53.01</v>
      </c>
      <c r="I11" s="6" t="n">
        <v>-53.18</v>
      </c>
      <c r="J11" s="6" t="n">
        <v>-52.68</v>
      </c>
      <c r="K11" s="6" t="n">
        <v>-53.31</v>
      </c>
      <c r="L11" s="6" t="n">
        <v>-52.92</v>
      </c>
      <c r="M11" s="6" t="n">
        <v>-53.06</v>
      </c>
      <c r="N11" s="7" t="n">
        <f aca="false">AVERAGE(D11:M11)</f>
        <v>-53.007</v>
      </c>
      <c r="O11" s="7" t="n">
        <f aca="false">STDEV(D11:M11)</f>
        <v>0.214219513583614</v>
      </c>
      <c r="P11" s="7" t="n">
        <f aca="false">MIN(D11:M11)</f>
        <v>-53.31</v>
      </c>
      <c r="Q11" s="7" t="n">
        <f aca="false">MAX(D11:M11)</f>
        <v>-52.68</v>
      </c>
    </row>
    <row r="12" customFormat="false" ht="15" hidden="false" customHeight="false" outlineLevel="0" collapsed="false">
      <c r="A12" s="6" t="s">
        <v>34</v>
      </c>
      <c r="B12" s="6" t="n">
        <v>11</v>
      </c>
      <c r="C12" s="6" t="n">
        <v>-62</v>
      </c>
      <c r="D12" s="6" t="n">
        <v>-62.18</v>
      </c>
      <c r="E12" s="6" t="n">
        <v>-61.85</v>
      </c>
      <c r="F12" s="6" t="n">
        <v>-62.3</v>
      </c>
      <c r="G12" s="6" t="n">
        <v>-61.72</v>
      </c>
      <c r="H12" s="6" t="n">
        <v>-62.04</v>
      </c>
      <c r="I12" s="6" t="n">
        <v>-62.21</v>
      </c>
      <c r="J12" s="6" t="n">
        <v>-61.66</v>
      </c>
      <c r="K12" s="6" t="n">
        <v>-62.38</v>
      </c>
      <c r="L12" s="6" t="n">
        <v>-61.9</v>
      </c>
      <c r="M12" s="6" t="n">
        <v>-62.05</v>
      </c>
      <c r="N12" s="7" t="n">
        <f aca="false">AVERAGE(D12:M12)</f>
        <v>-62.029</v>
      </c>
      <c r="O12" s="7" t="n">
        <f aca="false">STDEV(D12:M12)</f>
        <v>0.243376708462874</v>
      </c>
      <c r="P12" s="7" t="n">
        <f aca="false">MIN(D12:M12)</f>
        <v>-62.38</v>
      </c>
      <c r="Q12" s="7" t="n">
        <f aca="false">MAX(D12:M12)</f>
        <v>-61.66</v>
      </c>
    </row>
    <row r="13" customFormat="false" ht="15" hidden="false" customHeight="false" outlineLevel="0" collapsed="false">
      <c r="A13" s="6" t="s">
        <v>34</v>
      </c>
      <c r="B13" s="6" t="n">
        <v>12</v>
      </c>
      <c r="C13" s="6" t="n">
        <v>-69</v>
      </c>
      <c r="D13" s="6" t="n">
        <v>-68.85</v>
      </c>
      <c r="E13" s="6" t="n">
        <v>-69.2</v>
      </c>
      <c r="F13" s="6" t="n">
        <v>-68.72</v>
      </c>
      <c r="G13" s="6" t="n">
        <v>-69.31</v>
      </c>
      <c r="H13" s="6" t="n">
        <v>-69.02</v>
      </c>
      <c r="I13" s="6" t="n">
        <v>-68.91</v>
      </c>
      <c r="J13" s="6" t="n">
        <v>-69.18</v>
      </c>
      <c r="K13" s="6" t="n">
        <v>-68.65</v>
      </c>
      <c r="L13" s="6" t="n">
        <v>-69.25</v>
      </c>
      <c r="M13" s="6" t="n">
        <v>-69.08</v>
      </c>
      <c r="N13" s="7" t="n">
        <f aca="false">AVERAGE(D13:M13)</f>
        <v>-69.017</v>
      </c>
      <c r="O13" s="7" t="n">
        <f aca="false">STDEV(D13:M13)</f>
        <v>0.227647388153991</v>
      </c>
      <c r="P13" s="7" t="n">
        <f aca="false">MIN(D13:M13)</f>
        <v>-69.31</v>
      </c>
      <c r="Q13" s="7" t="n">
        <f aca="false">MAX(D13:M13)</f>
        <v>-68.65</v>
      </c>
    </row>
    <row r="14" customFormat="false" ht="15" hidden="false" customHeight="false" outlineLevel="0" collapsed="false">
      <c r="A14" s="6" t="s">
        <v>34</v>
      </c>
      <c r="B14" s="6" t="n">
        <v>13</v>
      </c>
      <c r="C14" s="6" t="n">
        <v>-64</v>
      </c>
      <c r="D14" s="6" t="n">
        <v>-64.12</v>
      </c>
      <c r="E14" s="6" t="n">
        <v>-63.82</v>
      </c>
      <c r="F14" s="6" t="n">
        <v>-64.28</v>
      </c>
      <c r="G14" s="6" t="n">
        <v>-63.7</v>
      </c>
      <c r="H14" s="6" t="n">
        <v>-64.05</v>
      </c>
      <c r="I14" s="6" t="n">
        <v>-64.22</v>
      </c>
      <c r="J14" s="6" t="n">
        <v>-63.68</v>
      </c>
      <c r="K14" s="6" t="n">
        <v>-64.35</v>
      </c>
      <c r="L14" s="6" t="n">
        <v>-63.91</v>
      </c>
      <c r="M14" s="6" t="n">
        <v>-64.08</v>
      </c>
      <c r="N14" s="7" t="n">
        <f aca="false">AVERAGE(D14:M14)</f>
        <v>-64.021</v>
      </c>
      <c r="O14" s="7" t="n">
        <f aca="false">STDEV(D14:M14)</f>
        <v>0.235959035992831</v>
      </c>
      <c r="P14" s="7" t="n">
        <f aca="false">MIN(D14:M14)</f>
        <v>-64.35</v>
      </c>
      <c r="Q14" s="7" t="n">
        <f aca="false">MAX(D14:M14)</f>
        <v>-63.68</v>
      </c>
    </row>
    <row r="15" customFormat="false" ht="15" hidden="false" customHeight="false" outlineLevel="0" collapsed="false">
      <c r="A15" s="6" t="s">
        <v>34</v>
      </c>
      <c r="B15" s="6" t="n">
        <v>14</v>
      </c>
      <c r="C15" s="6" t="n">
        <v>-65</v>
      </c>
      <c r="D15" s="6" t="n">
        <v>-65.15</v>
      </c>
      <c r="E15" s="6" t="n">
        <v>-64.88</v>
      </c>
      <c r="F15" s="6" t="n">
        <v>-65.31</v>
      </c>
      <c r="G15" s="6" t="n">
        <v>-64.72</v>
      </c>
      <c r="H15" s="6" t="n">
        <v>-65.02</v>
      </c>
      <c r="I15" s="6" t="n">
        <v>-65.2</v>
      </c>
      <c r="J15" s="6" t="n">
        <v>-64.65</v>
      </c>
      <c r="K15" s="6" t="n">
        <v>-65.28</v>
      </c>
      <c r="L15" s="6" t="n">
        <v>-64.92</v>
      </c>
      <c r="M15" s="6" t="n">
        <v>-65.05</v>
      </c>
      <c r="N15" s="7" t="n">
        <f aca="false">AVERAGE(D15:M15)</f>
        <v>-65.018</v>
      </c>
      <c r="O15" s="7" t="n">
        <f aca="false">STDEV(D15:M15)</f>
        <v>0.225674298246143</v>
      </c>
      <c r="P15" s="7" t="n">
        <f aca="false">MIN(D15:M15)</f>
        <v>-65.31</v>
      </c>
      <c r="Q15" s="7" t="n">
        <f aca="false">MAX(D15:M15)</f>
        <v>-64.65</v>
      </c>
    </row>
    <row r="16" customFormat="false" ht="15" hidden="false" customHeight="false" outlineLevel="0" collapsed="false">
      <c r="A16" s="6" t="s">
        <v>34</v>
      </c>
      <c r="B16" s="6" t="n">
        <v>15</v>
      </c>
      <c r="C16" s="6" t="n">
        <v>-74</v>
      </c>
      <c r="D16" s="6" t="n">
        <v>-73.88</v>
      </c>
      <c r="E16" s="6" t="n">
        <v>-74.22</v>
      </c>
      <c r="F16" s="6" t="n">
        <v>-73.7</v>
      </c>
      <c r="G16" s="6" t="n">
        <v>-74.35</v>
      </c>
      <c r="H16" s="6" t="n">
        <v>-74.02</v>
      </c>
      <c r="I16" s="6" t="n">
        <v>-74.17</v>
      </c>
      <c r="J16" s="6" t="n">
        <v>-73.65</v>
      </c>
      <c r="K16" s="6" t="n">
        <v>-74.28</v>
      </c>
      <c r="L16" s="6" t="n">
        <v>-73.91</v>
      </c>
      <c r="M16" s="6" t="n">
        <v>-74.05</v>
      </c>
      <c r="N16" s="7" t="n">
        <f aca="false">AVERAGE(D16:M16)</f>
        <v>-74.023</v>
      </c>
      <c r="O16" s="7" t="n">
        <f aca="false">STDEV(D16:M16)</f>
        <v>0.23823657709652</v>
      </c>
      <c r="P16" s="7" t="n">
        <f aca="false">MIN(D16:M16)</f>
        <v>-74.35</v>
      </c>
      <c r="Q16" s="7" t="n">
        <f aca="false">MAX(D16:M16)</f>
        <v>-73.65</v>
      </c>
    </row>
    <row r="18" customFormat="false" ht="15" hidden="false" customHeight="false" outlineLevel="0" collapsed="false">
      <c r="A18" s="6" t="s">
        <v>35</v>
      </c>
      <c r="B18" s="6" t="n">
        <v>2</v>
      </c>
      <c r="C18" s="6" t="n">
        <v>-67</v>
      </c>
      <c r="D18" s="6" t="n">
        <v>-67.12</v>
      </c>
      <c r="E18" s="6" t="n">
        <v>-66.85</v>
      </c>
      <c r="F18" s="6" t="n">
        <v>-67.28</v>
      </c>
      <c r="G18" s="6" t="n">
        <v>-66.7</v>
      </c>
      <c r="H18" s="6" t="n">
        <v>-67.04</v>
      </c>
      <c r="I18" s="6" t="n">
        <v>-67.21</v>
      </c>
      <c r="J18" s="6" t="n">
        <v>-66.68</v>
      </c>
      <c r="K18" s="6" t="n">
        <v>-67.35</v>
      </c>
      <c r="L18" s="6" t="n">
        <v>-66.91</v>
      </c>
      <c r="M18" s="6" t="n">
        <v>-67.05</v>
      </c>
      <c r="N18" s="7" t="n">
        <f aca="false">AVERAGE(D18:M18)</f>
        <v>-67.019</v>
      </c>
      <c r="O18" s="7" t="n">
        <f aca="false">STDEV(D18:M18)</f>
        <v>0.231634290303581</v>
      </c>
      <c r="P18" s="7" t="n">
        <f aca="false">MIN(D18:M18)</f>
        <v>-67.35</v>
      </c>
      <c r="Q18" s="7" t="n">
        <f aca="false">MAX(D18:M18)</f>
        <v>-66.68</v>
      </c>
    </row>
    <row r="19" customFormat="false" ht="15" hidden="false" customHeight="false" outlineLevel="0" collapsed="false">
      <c r="A19" s="6" t="s">
        <v>35</v>
      </c>
      <c r="B19" s="6" t="n">
        <v>3</v>
      </c>
      <c r="C19" s="6" t="n">
        <v>-58</v>
      </c>
      <c r="D19" s="6" t="n">
        <v>-57.88</v>
      </c>
      <c r="E19" s="6" t="n">
        <v>-58.15</v>
      </c>
      <c r="F19" s="6" t="n">
        <v>-58.32</v>
      </c>
      <c r="G19" s="6" t="n">
        <v>-57.7</v>
      </c>
      <c r="H19" s="6" t="n">
        <v>-58.02</v>
      </c>
      <c r="I19" s="6" t="n">
        <v>-58.21</v>
      </c>
      <c r="J19" s="6" t="n">
        <v>-57.65</v>
      </c>
      <c r="K19" s="6" t="n">
        <v>-58.28</v>
      </c>
      <c r="L19" s="6" t="n">
        <v>-57.91</v>
      </c>
      <c r="M19" s="6" t="n">
        <v>-58.08</v>
      </c>
      <c r="N19" s="7" t="n">
        <f aca="false">AVERAGE(D19:M19)</f>
        <v>-58.02</v>
      </c>
      <c r="O19" s="7" t="n">
        <f aca="false">STDEV(D19:M19)</f>
        <v>0.232187663563573</v>
      </c>
      <c r="P19" s="7" t="n">
        <f aca="false">MIN(D19:M19)</f>
        <v>-58.32</v>
      </c>
      <c r="Q19" s="7" t="n">
        <f aca="false">MAX(D19:M19)</f>
        <v>-57.65</v>
      </c>
    </row>
    <row r="20" customFormat="false" ht="15" hidden="false" customHeight="false" outlineLevel="0" collapsed="false">
      <c r="A20" s="6" t="s">
        <v>35</v>
      </c>
      <c r="B20" s="6" t="n">
        <v>4</v>
      </c>
      <c r="C20" s="6" t="n">
        <v>-59</v>
      </c>
      <c r="D20" s="6" t="n">
        <v>-59.15</v>
      </c>
      <c r="E20" s="6" t="n">
        <v>-58.82</v>
      </c>
      <c r="F20" s="6" t="n">
        <v>-59.28</v>
      </c>
      <c r="G20" s="6" t="n">
        <v>-58.72</v>
      </c>
      <c r="H20" s="6" t="n">
        <v>-59.04</v>
      </c>
      <c r="I20" s="6" t="n">
        <v>-59.21</v>
      </c>
      <c r="J20" s="6" t="n">
        <v>-58.68</v>
      </c>
      <c r="K20" s="6" t="n">
        <v>-59.35</v>
      </c>
      <c r="L20" s="6" t="n">
        <v>-58.91</v>
      </c>
      <c r="M20" s="6" t="n">
        <v>-59.05</v>
      </c>
      <c r="N20" s="7" t="n">
        <f aca="false">AVERAGE(D20:M20)</f>
        <v>-59.021</v>
      </c>
      <c r="O20" s="7" t="n">
        <f aca="false">STDEV(D20:M20)</f>
        <v>0.232973532116133</v>
      </c>
      <c r="P20" s="7" t="n">
        <f aca="false">MIN(D20:M20)</f>
        <v>-59.35</v>
      </c>
      <c r="Q20" s="7" t="n">
        <f aca="false">MAX(D20:M20)</f>
        <v>-58.68</v>
      </c>
    </row>
    <row r="21" customFormat="false" ht="15" hidden="false" customHeight="false" outlineLevel="0" collapsed="false">
      <c r="A21" s="6" t="s">
        <v>35</v>
      </c>
      <c r="B21" s="6" t="n">
        <v>5</v>
      </c>
      <c r="C21" s="6" t="n">
        <v>-57</v>
      </c>
      <c r="D21" s="6" t="n">
        <v>-56.88</v>
      </c>
      <c r="E21" s="6" t="n">
        <v>-57.15</v>
      </c>
      <c r="F21" s="6" t="n">
        <v>-57.32</v>
      </c>
      <c r="G21" s="6" t="n">
        <v>-56.7</v>
      </c>
      <c r="H21" s="6" t="n">
        <v>-57.02</v>
      </c>
      <c r="I21" s="6" t="n">
        <v>-57.21</v>
      </c>
      <c r="J21" s="6" t="n">
        <v>-56.65</v>
      </c>
      <c r="K21" s="6" t="n">
        <v>-57.28</v>
      </c>
      <c r="L21" s="6" t="n">
        <v>-56.91</v>
      </c>
      <c r="M21" s="6" t="n">
        <v>-57.05</v>
      </c>
      <c r="N21" s="7" t="n">
        <f aca="false">AVERAGE(D21:M21)</f>
        <v>-57.017</v>
      </c>
      <c r="O21" s="7" t="n">
        <f aca="false">STDEV(D21:M21)</f>
        <v>0.231519137677884</v>
      </c>
      <c r="P21" s="7" t="n">
        <f aca="false">MIN(D21:M21)</f>
        <v>-57.32</v>
      </c>
      <c r="Q21" s="7" t="n">
        <f aca="false">MAX(D21:M21)</f>
        <v>-56.65</v>
      </c>
    </row>
    <row r="22" customFormat="false" ht="15" hidden="false" customHeight="false" outlineLevel="0" collapsed="false">
      <c r="A22" s="6" t="s">
        <v>35</v>
      </c>
      <c r="B22" s="6" t="n">
        <v>6</v>
      </c>
      <c r="C22" s="6" t="n">
        <v>-62</v>
      </c>
      <c r="D22" s="6" t="n">
        <v>-62.12</v>
      </c>
      <c r="E22" s="6" t="n">
        <v>-61.85</v>
      </c>
      <c r="F22" s="6" t="n">
        <v>-62.28</v>
      </c>
      <c r="G22" s="6" t="n">
        <v>-61.7</v>
      </c>
      <c r="H22" s="6" t="n">
        <v>-62.04</v>
      </c>
      <c r="I22" s="6" t="n">
        <v>-62.21</v>
      </c>
      <c r="J22" s="6" t="n">
        <v>-61.68</v>
      </c>
      <c r="K22" s="6" t="n">
        <v>-62.35</v>
      </c>
      <c r="L22" s="6" t="n">
        <v>-61.91</v>
      </c>
      <c r="M22" s="6" t="n">
        <v>-62.05</v>
      </c>
      <c r="N22" s="7" t="n">
        <f aca="false">AVERAGE(D22:M22)</f>
        <v>-62.019</v>
      </c>
      <c r="O22" s="7" t="n">
        <f aca="false">STDEV(D22:M22)</f>
        <v>0.231634290303583</v>
      </c>
      <c r="P22" s="7" t="n">
        <f aca="false">MIN(D22:M22)</f>
        <v>-62.35</v>
      </c>
      <c r="Q22" s="7" t="n">
        <f aca="false">MAX(D22:M22)</f>
        <v>-61.68</v>
      </c>
    </row>
    <row r="23" customFormat="false" ht="15" hidden="false" customHeight="false" outlineLevel="0" collapsed="false">
      <c r="A23" s="6" t="s">
        <v>35</v>
      </c>
      <c r="B23" s="6" t="n">
        <v>7</v>
      </c>
      <c r="C23" s="6" t="n">
        <v>-56</v>
      </c>
      <c r="D23" s="6" t="n">
        <v>-55.88</v>
      </c>
      <c r="E23" s="6" t="n">
        <v>-56.15</v>
      </c>
      <c r="F23" s="6" t="n">
        <v>-56.32</v>
      </c>
      <c r="G23" s="6" t="n">
        <v>-55.7</v>
      </c>
      <c r="H23" s="6" t="n">
        <v>-56.02</v>
      </c>
      <c r="I23" s="6" t="n">
        <v>-56.21</v>
      </c>
      <c r="J23" s="6" t="n">
        <v>-55.65</v>
      </c>
      <c r="K23" s="6" t="n">
        <v>-56.28</v>
      </c>
      <c r="L23" s="6" t="n">
        <v>-55.91</v>
      </c>
      <c r="M23" s="6" t="n">
        <v>-56.05</v>
      </c>
      <c r="N23" s="7" t="n">
        <f aca="false">AVERAGE(D23:M23)</f>
        <v>-56.017</v>
      </c>
      <c r="O23" s="7" t="n">
        <f aca="false">STDEV(D23:M23)</f>
        <v>0.231519137677884</v>
      </c>
      <c r="P23" s="7" t="n">
        <f aca="false">MIN(D23:M23)</f>
        <v>-56.32</v>
      </c>
      <c r="Q23" s="7" t="n">
        <f aca="false">MAX(D23:M23)</f>
        <v>-55.65</v>
      </c>
    </row>
    <row r="24" customFormat="false" ht="15" hidden="false" customHeight="false" outlineLevel="0" collapsed="false">
      <c r="A24" s="6" t="s">
        <v>35</v>
      </c>
      <c r="B24" s="6" t="n">
        <v>8</v>
      </c>
      <c r="C24" s="6" t="n">
        <v>-64</v>
      </c>
      <c r="D24" s="6" t="n">
        <v>-64.15</v>
      </c>
      <c r="E24" s="6" t="n">
        <v>-63.82</v>
      </c>
      <c r="F24" s="6" t="n">
        <v>-64.28</v>
      </c>
      <c r="G24" s="6" t="n">
        <v>-63.72</v>
      </c>
      <c r="H24" s="6" t="n">
        <v>-64.04</v>
      </c>
      <c r="I24" s="6" t="n">
        <v>-64.21</v>
      </c>
      <c r="J24" s="6" t="n">
        <v>-63.68</v>
      </c>
      <c r="K24" s="6" t="n">
        <v>-64.35</v>
      </c>
      <c r="L24" s="6" t="n">
        <v>-63.91</v>
      </c>
      <c r="M24" s="6" t="n">
        <v>-64.05</v>
      </c>
      <c r="N24" s="7" t="n">
        <f aca="false">AVERAGE(D24:M24)</f>
        <v>-64.021</v>
      </c>
      <c r="O24" s="7" t="n">
        <f aca="false">STDEV(D24:M24)</f>
        <v>0.232973532116132</v>
      </c>
      <c r="P24" s="7" t="n">
        <f aca="false">MIN(D24:M24)</f>
        <v>-64.35</v>
      </c>
      <c r="Q24" s="7" t="n">
        <f aca="false">MAX(D24:M24)</f>
        <v>-63.68</v>
      </c>
    </row>
    <row r="25" customFormat="false" ht="15" hidden="false" customHeight="false" outlineLevel="0" collapsed="false">
      <c r="A25" s="6" t="s">
        <v>35</v>
      </c>
      <c r="B25" s="6" t="n">
        <v>9</v>
      </c>
      <c r="C25" s="6" t="n">
        <v>-47</v>
      </c>
      <c r="D25" s="6" t="n">
        <v>-46.88</v>
      </c>
      <c r="E25" s="6" t="n">
        <v>-47.15</v>
      </c>
      <c r="F25" s="6" t="n">
        <v>-47.32</v>
      </c>
      <c r="G25" s="6" t="n">
        <v>-46.7</v>
      </c>
      <c r="H25" s="6" t="n">
        <v>-47.02</v>
      </c>
      <c r="I25" s="6" t="n">
        <v>-47.21</v>
      </c>
      <c r="J25" s="6" t="n">
        <v>-46.65</v>
      </c>
      <c r="K25" s="6" t="n">
        <v>-47.28</v>
      </c>
      <c r="L25" s="6" t="n">
        <v>-46.91</v>
      </c>
      <c r="M25" s="6" t="n">
        <v>-47.05</v>
      </c>
      <c r="N25" s="7" t="n">
        <f aca="false">AVERAGE(D25:M25)</f>
        <v>-47.017</v>
      </c>
      <c r="O25" s="7" t="n">
        <f aca="false">STDEV(D25:M25)</f>
        <v>0.231519137677884</v>
      </c>
      <c r="P25" s="7" t="n">
        <f aca="false">MIN(D25:M25)</f>
        <v>-47.32</v>
      </c>
      <c r="Q25" s="7" t="n">
        <f aca="false">MAX(D25:M25)</f>
        <v>-46.65</v>
      </c>
    </row>
    <row r="26" customFormat="false" ht="15" hidden="false" customHeight="false" outlineLevel="0" collapsed="false">
      <c r="A26" s="6" t="s">
        <v>35</v>
      </c>
      <c r="B26" s="6" t="n">
        <v>10</v>
      </c>
      <c r="C26" s="6" t="n">
        <v>-66</v>
      </c>
      <c r="D26" s="6" t="n">
        <v>-66.12</v>
      </c>
      <c r="E26" s="6" t="n">
        <v>-65.85</v>
      </c>
      <c r="F26" s="6" t="n">
        <v>-66.28</v>
      </c>
      <c r="G26" s="6" t="n">
        <v>-65.7</v>
      </c>
      <c r="H26" s="6" t="n">
        <v>-66.04</v>
      </c>
      <c r="I26" s="6" t="n">
        <v>-66.21</v>
      </c>
      <c r="J26" s="6" t="n">
        <v>-65.68</v>
      </c>
      <c r="K26" s="6" t="n">
        <v>-66.35</v>
      </c>
      <c r="L26" s="6" t="n">
        <v>-65.91</v>
      </c>
      <c r="M26" s="6" t="n">
        <v>-66.05</v>
      </c>
      <c r="N26" s="7" t="n">
        <f aca="false">AVERAGE(D26:M26)</f>
        <v>-66.019</v>
      </c>
      <c r="O26" s="7" t="n">
        <f aca="false">STDEV(D26:M26)</f>
        <v>0.231634290303581</v>
      </c>
      <c r="P26" s="7" t="n">
        <f aca="false">MIN(D26:M26)</f>
        <v>-66.35</v>
      </c>
      <c r="Q26" s="7" t="n">
        <f aca="false">MAX(D26:M26)</f>
        <v>-65.68</v>
      </c>
    </row>
    <row r="27" customFormat="false" ht="15" hidden="false" customHeight="false" outlineLevel="0" collapsed="false">
      <c r="A27" s="6" t="s">
        <v>35</v>
      </c>
      <c r="B27" s="6" t="n">
        <v>11</v>
      </c>
      <c r="C27" s="6" t="n">
        <v>-70</v>
      </c>
      <c r="D27" s="6" t="n">
        <v>-69.88</v>
      </c>
      <c r="E27" s="6" t="n">
        <v>-70.15</v>
      </c>
      <c r="F27" s="6" t="n">
        <v>-70.32</v>
      </c>
      <c r="G27" s="6" t="n">
        <v>-69.7</v>
      </c>
      <c r="H27" s="6" t="n">
        <v>-70.02</v>
      </c>
      <c r="I27" s="6" t="n">
        <v>-70.21</v>
      </c>
      <c r="J27" s="6" t="n">
        <v>-69.65</v>
      </c>
      <c r="K27" s="6" t="n">
        <v>-70.28</v>
      </c>
      <c r="L27" s="6" t="n">
        <v>-69.91</v>
      </c>
      <c r="M27" s="6" t="n">
        <v>-70.05</v>
      </c>
      <c r="N27" s="7" t="n">
        <f aca="false">AVERAGE(D27:M27)</f>
        <v>-70.017</v>
      </c>
      <c r="O27" s="7" t="n">
        <f aca="false">STDEV(D27:M27)</f>
        <v>0.231519137677882</v>
      </c>
      <c r="P27" s="7" t="n">
        <f aca="false">MIN(D27:M27)</f>
        <v>-70.32</v>
      </c>
      <c r="Q27" s="7" t="n">
        <f aca="false">MAX(D27:M27)</f>
        <v>-69.65</v>
      </c>
    </row>
    <row r="28" customFormat="false" ht="15" hidden="false" customHeight="false" outlineLevel="0" collapsed="false">
      <c r="A28" s="6" t="s">
        <v>35</v>
      </c>
      <c r="B28" s="6" t="n">
        <v>12</v>
      </c>
      <c r="C28" s="6" t="n">
        <v>-74</v>
      </c>
      <c r="D28" s="6" t="n">
        <v>-74.15</v>
      </c>
      <c r="E28" s="6" t="n">
        <v>-73.82</v>
      </c>
      <c r="F28" s="6" t="n">
        <v>-74.28</v>
      </c>
      <c r="G28" s="6" t="n">
        <v>-73.72</v>
      </c>
      <c r="H28" s="6" t="n">
        <v>-74.04</v>
      </c>
      <c r="I28" s="6" t="n">
        <v>-74.21</v>
      </c>
      <c r="J28" s="6" t="n">
        <v>-73.68</v>
      </c>
      <c r="K28" s="6" t="n">
        <v>-74.35</v>
      </c>
      <c r="L28" s="6" t="n">
        <v>-73.91</v>
      </c>
      <c r="M28" s="6" t="n">
        <v>-74.05</v>
      </c>
      <c r="N28" s="7" t="n">
        <f aca="false">AVERAGE(D28:M28)</f>
        <v>-74.021</v>
      </c>
      <c r="O28" s="7" t="n">
        <f aca="false">STDEV(D28:M28)</f>
        <v>0.232973532116132</v>
      </c>
      <c r="P28" s="7" t="n">
        <f aca="false">MIN(D28:M28)</f>
        <v>-74.35</v>
      </c>
      <c r="Q28" s="7" t="n">
        <f aca="false">MAX(D28:M28)</f>
        <v>-73.68</v>
      </c>
    </row>
    <row r="29" customFormat="false" ht="15" hidden="false" customHeight="false" outlineLevel="0" collapsed="false">
      <c r="A29" s="6" t="s">
        <v>35</v>
      </c>
      <c r="B29" s="6" t="n">
        <v>13</v>
      </c>
      <c r="C29" s="6" t="n">
        <v>-70</v>
      </c>
      <c r="D29" s="6" t="n">
        <v>-69.88</v>
      </c>
      <c r="E29" s="6" t="n">
        <v>-70.15</v>
      </c>
      <c r="F29" s="6" t="n">
        <v>-70.32</v>
      </c>
      <c r="G29" s="6" t="n">
        <v>-69.7</v>
      </c>
      <c r="H29" s="6" t="n">
        <v>-70.02</v>
      </c>
      <c r="I29" s="6" t="n">
        <v>-70.21</v>
      </c>
      <c r="J29" s="6" t="n">
        <v>-69.65</v>
      </c>
      <c r="K29" s="6" t="n">
        <v>-70.28</v>
      </c>
      <c r="L29" s="6" t="n">
        <v>-69.91</v>
      </c>
      <c r="M29" s="6" t="n">
        <v>-70.05</v>
      </c>
      <c r="N29" s="7" t="n">
        <f aca="false">AVERAGE(D29:M29)</f>
        <v>-70.017</v>
      </c>
      <c r="O29" s="7" t="n">
        <f aca="false">STDEV(D29:M29)</f>
        <v>0.231519137677882</v>
      </c>
      <c r="P29" s="7" t="n">
        <f aca="false">MIN(D29:M29)</f>
        <v>-70.32</v>
      </c>
      <c r="Q29" s="7" t="n">
        <f aca="false">MAX(D29:M29)</f>
        <v>-69.65</v>
      </c>
    </row>
    <row r="30" customFormat="false" ht="15" hidden="false" customHeight="false" outlineLevel="0" collapsed="false">
      <c r="A30" s="6" t="s">
        <v>35</v>
      </c>
      <c r="B30" s="6" t="n">
        <v>14</v>
      </c>
      <c r="C30" s="6" t="n">
        <v>-64</v>
      </c>
      <c r="D30" s="6" t="n">
        <v>-64.12</v>
      </c>
      <c r="E30" s="6" t="n">
        <v>-63.85</v>
      </c>
      <c r="F30" s="6" t="n">
        <v>-64.28</v>
      </c>
      <c r="G30" s="6" t="n">
        <v>-63.7</v>
      </c>
      <c r="H30" s="6" t="n">
        <v>-64.04</v>
      </c>
      <c r="I30" s="6" t="n">
        <v>-64.21</v>
      </c>
      <c r="J30" s="6" t="n">
        <v>-63.68</v>
      </c>
      <c r="K30" s="6" t="n">
        <v>-64.35</v>
      </c>
      <c r="L30" s="6" t="n">
        <v>-63.91</v>
      </c>
      <c r="M30" s="6" t="n">
        <v>-64.05</v>
      </c>
      <c r="N30" s="7" t="n">
        <f aca="false">AVERAGE(D30:M30)</f>
        <v>-64.019</v>
      </c>
      <c r="O30" s="7" t="n">
        <f aca="false">STDEV(D30:M30)</f>
        <v>0.231634290303581</v>
      </c>
      <c r="P30" s="7" t="n">
        <f aca="false">MIN(D30:M30)</f>
        <v>-64.35</v>
      </c>
      <c r="Q30" s="7" t="n">
        <f aca="false">MAX(D30:M30)</f>
        <v>-63.68</v>
      </c>
    </row>
    <row r="31" customFormat="false" ht="15" hidden="false" customHeight="false" outlineLevel="0" collapsed="false">
      <c r="A31" s="6" t="s">
        <v>35</v>
      </c>
      <c r="B31" s="6" t="n">
        <v>15</v>
      </c>
      <c r="C31" s="6" t="n">
        <v>-70</v>
      </c>
      <c r="D31" s="6" t="n">
        <v>-69.88</v>
      </c>
      <c r="E31" s="6" t="n">
        <v>-70.15</v>
      </c>
      <c r="F31" s="6" t="n">
        <v>-70.32</v>
      </c>
      <c r="G31" s="6" t="n">
        <v>-69.7</v>
      </c>
      <c r="H31" s="6" t="n">
        <v>-70.02</v>
      </c>
      <c r="I31" s="6" t="n">
        <v>-70.21</v>
      </c>
      <c r="J31" s="6" t="n">
        <v>-69.65</v>
      </c>
      <c r="K31" s="6" t="n">
        <v>-70.28</v>
      </c>
      <c r="L31" s="6" t="n">
        <v>-69.91</v>
      </c>
      <c r="M31" s="6" t="n">
        <v>-70.05</v>
      </c>
      <c r="N31" s="7" t="n">
        <f aca="false">AVERAGE(D31:M31)</f>
        <v>-70.017</v>
      </c>
      <c r="O31" s="7" t="n">
        <f aca="false">STDEV(D31:M31)</f>
        <v>0.231519137677882</v>
      </c>
      <c r="P31" s="7" t="n">
        <f aca="false">MIN(D31:M31)</f>
        <v>-70.32</v>
      </c>
      <c r="Q31" s="7" t="n">
        <f aca="false">MAX(D31:M31)</f>
        <v>-69.65</v>
      </c>
    </row>
    <row r="32" customFormat="false" ht="15" hidden="false" customHeight="false" outlineLevel="0" collapsed="false">
      <c r="A32" s="6" t="s">
        <v>35</v>
      </c>
      <c r="B32" s="6" t="n">
        <v>16</v>
      </c>
      <c r="C32" s="6" t="n">
        <v>-33</v>
      </c>
      <c r="D32" s="6" t="n">
        <v>-33.15</v>
      </c>
      <c r="E32" s="6" t="n">
        <v>-32.82</v>
      </c>
      <c r="F32" s="6" t="n">
        <v>-33.28</v>
      </c>
      <c r="G32" s="6" t="n">
        <v>-32.72</v>
      </c>
      <c r="H32" s="6" t="n">
        <v>-33.04</v>
      </c>
      <c r="I32" s="6" t="n">
        <v>-33.21</v>
      </c>
      <c r="J32" s="6" t="n">
        <v>-32.68</v>
      </c>
      <c r="K32" s="6" t="n">
        <v>-33.35</v>
      </c>
      <c r="L32" s="6" t="n">
        <v>-32.91</v>
      </c>
      <c r="M32" s="6" t="n">
        <v>-33.05</v>
      </c>
      <c r="N32" s="7" t="n">
        <f aca="false">AVERAGE(D32:M32)</f>
        <v>-33.021</v>
      </c>
      <c r="O32" s="7" t="n">
        <f aca="false">STDEV(D32:M32)</f>
        <v>0.232973532116133</v>
      </c>
      <c r="P32" s="7" t="n">
        <f aca="false">MIN(D32:M32)</f>
        <v>-33.35</v>
      </c>
      <c r="Q32" s="7" t="n">
        <f aca="false">MAX(D32:M32)</f>
        <v>-32.68</v>
      </c>
    </row>
    <row r="34" customFormat="false" ht="26.85" hidden="false" customHeight="false" outlineLevel="0" collapsed="false">
      <c r="A34" s="6" t="s">
        <v>36</v>
      </c>
      <c r="B34" s="6" t="n">
        <v>1</v>
      </c>
      <c r="C34" s="6" t="n">
        <v>-49</v>
      </c>
      <c r="D34" s="6" t="n">
        <v>-49.12</v>
      </c>
      <c r="E34" s="6" t="n">
        <v>-48.85</v>
      </c>
      <c r="F34" s="6" t="n">
        <v>-49.28</v>
      </c>
      <c r="G34" s="6" t="n">
        <v>-48.7</v>
      </c>
      <c r="H34" s="6" t="n">
        <v>-49.04</v>
      </c>
      <c r="I34" s="6" t="n">
        <v>-49.21</v>
      </c>
      <c r="J34" s="6" t="n">
        <v>-48.68</v>
      </c>
      <c r="K34" s="6" t="n">
        <v>-49.35</v>
      </c>
      <c r="L34" s="6" t="n">
        <v>-48.91</v>
      </c>
      <c r="M34" s="6" t="n">
        <v>-49.05</v>
      </c>
      <c r="N34" s="7" t="n">
        <f aca="false">AVERAGE(D34:M34)</f>
        <v>-49.019</v>
      </c>
      <c r="O34" s="7" t="n">
        <f aca="false">STDEV(D34:M34)</f>
        <v>0.231634290303583</v>
      </c>
      <c r="P34" s="7" t="n">
        <f aca="false">MIN(D34:M34)</f>
        <v>-49.35</v>
      </c>
      <c r="Q34" s="7" t="n">
        <f aca="false">MAX(D34:M34)</f>
        <v>-48.68</v>
      </c>
    </row>
    <row r="35" customFormat="false" ht="26.85" hidden="false" customHeight="false" outlineLevel="0" collapsed="false">
      <c r="A35" s="6" t="s">
        <v>36</v>
      </c>
      <c r="B35" s="6" t="n">
        <v>2</v>
      </c>
      <c r="C35" s="6" t="n">
        <v>-56</v>
      </c>
      <c r="D35" s="6" t="n">
        <v>-55.88</v>
      </c>
      <c r="E35" s="6" t="n">
        <v>-56.15</v>
      </c>
      <c r="F35" s="6" t="n">
        <v>-56.32</v>
      </c>
      <c r="G35" s="6" t="n">
        <v>-55.7</v>
      </c>
      <c r="H35" s="6" t="n">
        <v>-56.02</v>
      </c>
      <c r="I35" s="6" t="n">
        <v>-56.21</v>
      </c>
      <c r="J35" s="6" t="n">
        <v>-55.65</v>
      </c>
      <c r="K35" s="6" t="n">
        <v>-56.28</v>
      </c>
      <c r="L35" s="6" t="n">
        <v>-55.91</v>
      </c>
      <c r="M35" s="6" t="n">
        <v>-56.05</v>
      </c>
      <c r="N35" s="7" t="n">
        <f aca="false">AVERAGE(D35:M35)</f>
        <v>-56.017</v>
      </c>
      <c r="O35" s="7" t="n">
        <f aca="false">STDEV(D35:M35)</f>
        <v>0.231519137677884</v>
      </c>
      <c r="P35" s="7" t="n">
        <f aca="false">MIN(D35:M35)</f>
        <v>-56.32</v>
      </c>
      <c r="Q35" s="7" t="n">
        <f aca="false">MAX(D35:M35)</f>
        <v>-55.65</v>
      </c>
    </row>
    <row r="36" customFormat="false" ht="26.85" hidden="false" customHeight="false" outlineLevel="0" collapsed="false">
      <c r="A36" s="6" t="s">
        <v>36</v>
      </c>
      <c r="B36" s="6" t="n">
        <v>3</v>
      </c>
      <c r="C36" s="6" t="n">
        <v>-62</v>
      </c>
      <c r="D36" s="6" t="n">
        <v>-62.15</v>
      </c>
      <c r="E36" s="6" t="n">
        <v>-61.82</v>
      </c>
      <c r="F36" s="6" t="n">
        <v>-62.28</v>
      </c>
      <c r="G36" s="6" t="n">
        <v>-61.72</v>
      </c>
      <c r="H36" s="6" t="n">
        <v>-62.04</v>
      </c>
      <c r="I36" s="6" t="n">
        <v>-62.21</v>
      </c>
      <c r="J36" s="6" t="n">
        <v>-61.68</v>
      </c>
      <c r="K36" s="6" t="n">
        <v>-62.35</v>
      </c>
      <c r="L36" s="6" t="n">
        <v>-61.91</v>
      </c>
      <c r="M36" s="6" t="n">
        <v>-62.05</v>
      </c>
      <c r="N36" s="7" t="n">
        <f aca="false">AVERAGE(D36:M36)</f>
        <v>-62.021</v>
      </c>
      <c r="O36" s="7" t="n">
        <f aca="false">STDEV(D36:M36)</f>
        <v>0.232973532116133</v>
      </c>
      <c r="P36" s="7" t="n">
        <f aca="false">MIN(D36:M36)</f>
        <v>-62.35</v>
      </c>
      <c r="Q36" s="7" t="n">
        <f aca="false">MAX(D36:M36)</f>
        <v>-61.68</v>
      </c>
    </row>
    <row r="37" customFormat="false" ht="26.85" hidden="false" customHeight="false" outlineLevel="0" collapsed="false">
      <c r="A37" s="6" t="s">
        <v>36</v>
      </c>
      <c r="B37" s="6" t="n">
        <v>4</v>
      </c>
      <c r="C37" s="6" t="n">
        <v>-58</v>
      </c>
      <c r="D37" s="6" t="n">
        <v>-57.88</v>
      </c>
      <c r="E37" s="6" t="n">
        <v>-58.15</v>
      </c>
      <c r="F37" s="6" t="n">
        <v>-58.32</v>
      </c>
      <c r="G37" s="6" t="n">
        <v>-57.7</v>
      </c>
      <c r="H37" s="6" t="n">
        <v>-58.02</v>
      </c>
      <c r="I37" s="6" t="n">
        <v>-58.21</v>
      </c>
      <c r="J37" s="6" t="n">
        <v>-57.65</v>
      </c>
      <c r="K37" s="6" t="n">
        <v>-58.28</v>
      </c>
      <c r="L37" s="6" t="n">
        <v>-57.91</v>
      </c>
      <c r="M37" s="6" t="n">
        <v>-58.05</v>
      </c>
      <c r="N37" s="7" t="n">
        <f aca="false">AVERAGE(D37:M37)</f>
        <v>-58.017</v>
      </c>
      <c r="O37" s="7" t="n">
        <f aca="false">STDEV(D37:M37)</f>
        <v>0.231519137677884</v>
      </c>
      <c r="P37" s="7" t="n">
        <f aca="false">MIN(D37:M37)</f>
        <v>-58.32</v>
      </c>
      <c r="Q37" s="7" t="n">
        <f aca="false">MAX(D37:M37)</f>
        <v>-57.65</v>
      </c>
    </row>
    <row r="38" customFormat="false" ht="26.85" hidden="false" customHeight="false" outlineLevel="0" collapsed="false">
      <c r="A38" s="6" t="s">
        <v>36</v>
      </c>
      <c r="B38" s="6" t="n">
        <v>5</v>
      </c>
      <c r="C38" s="6" t="n">
        <v>-61</v>
      </c>
      <c r="D38" s="6" t="n">
        <v>-61.12</v>
      </c>
      <c r="E38" s="6" t="n">
        <v>-60.85</v>
      </c>
      <c r="F38" s="6" t="n">
        <v>-61.28</v>
      </c>
      <c r="G38" s="6" t="n">
        <v>-60.7</v>
      </c>
      <c r="H38" s="6" t="n">
        <v>-61.04</v>
      </c>
      <c r="I38" s="6" t="n">
        <v>-61.21</v>
      </c>
      <c r="J38" s="6" t="n">
        <v>-60.68</v>
      </c>
      <c r="K38" s="6" t="n">
        <v>-61.35</v>
      </c>
      <c r="L38" s="6" t="n">
        <v>-60.91</v>
      </c>
      <c r="M38" s="6" t="n">
        <v>-61.05</v>
      </c>
      <c r="N38" s="7" t="n">
        <f aca="false">AVERAGE(D38:M38)</f>
        <v>-61.019</v>
      </c>
      <c r="O38" s="7" t="n">
        <f aca="false">STDEV(D38:M38)</f>
        <v>0.231634290303583</v>
      </c>
      <c r="P38" s="7" t="n">
        <f aca="false">MIN(D38:M38)</f>
        <v>-61.35</v>
      </c>
      <c r="Q38" s="7" t="n">
        <f aca="false">MAX(D38:M38)</f>
        <v>-60.68</v>
      </c>
    </row>
    <row r="39" customFormat="false" ht="26.85" hidden="false" customHeight="false" outlineLevel="0" collapsed="false">
      <c r="A39" s="6" t="s">
        <v>36</v>
      </c>
      <c r="B39" s="6" t="n">
        <v>6</v>
      </c>
      <c r="C39" s="6" t="n">
        <v>-69</v>
      </c>
      <c r="D39" s="6" t="n">
        <v>-68.88</v>
      </c>
      <c r="E39" s="6" t="n">
        <v>-69.15</v>
      </c>
      <c r="F39" s="6" t="n">
        <v>-69.32</v>
      </c>
      <c r="G39" s="6" t="n">
        <v>-68.7</v>
      </c>
      <c r="H39" s="6" t="n">
        <v>-69.02</v>
      </c>
      <c r="I39" s="6" t="n">
        <v>-69.21</v>
      </c>
      <c r="J39" s="6" t="n">
        <v>-68.65</v>
      </c>
      <c r="K39" s="6" t="n">
        <v>-69.28</v>
      </c>
      <c r="L39" s="6" t="n">
        <v>-68.91</v>
      </c>
      <c r="M39" s="6" t="n">
        <v>-69.05</v>
      </c>
      <c r="N39" s="7" t="n">
        <f aca="false">AVERAGE(D39:M39)</f>
        <v>-69.017</v>
      </c>
      <c r="O39" s="7" t="n">
        <f aca="false">STDEV(D39:M39)</f>
        <v>0.231519137677882</v>
      </c>
      <c r="P39" s="7" t="n">
        <f aca="false">MIN(D39:M39)</f>
        <v>-69.32</v>
      </c>
      <c r="Q39" s="7" t="n">
        <f aca="false">MAX(D39:M39)</f>
        <v>-68.65</v>
      </c>
    </row>
    <row r="40" customFormat="false" ht="26.85" hidden="false" customHeight="false" outlineLevel="0" collapsed="false">
      <c r="A40" s="6" t="s">
        <v>36</v>
      </c>
      <c r="B40" s="6" t="n">
        <v>7</v>
      </c>
      <c r="C40" s="6" t="n">
        <v>-66</v>
      </c>
      <c r="D40" s="6" t="n">
        <v>-66.15</v>
      </c>
      <c r="E40" s="6" t="n">
        <v>-65.82</v>
      </c>
      <c r="F40" s="6" t="n">
        <v>-66.28</v>
      </c>
      <c r="G40" s="6" t="n">
        <v>-65.72</v>
      </c>
      <c r="H40" s="6" t="n">
        <v>-66.04</v>
      </c>
      <c r="I40" s="6" t="n">
        <v>-66.21</v>
      </c>
      <c r="J40" s="6" t="n">
        <v>-65.68</v>
      </c>
      <c r="K40" s="6" t="n">
        <v>-66.35</v>
      </c>
      <c r="L40" s="6" t="n">
        <v>-65.91</v>
      </c>
      <c r="M40" s="6" t="n">
        <v>-66.05</v>
      </c>
      <c r="N40" s="7" t="n">
        <f aca="false">AVERAGE(D40:M40)</f>
        <v>-66.021</v>
      </c>
      <c r="O40" s="7" t="n">
        <f aca="false">STDEV(D40:M40)</f>
        <v>0.232973532116132</v>
      </c>
      <c r="P40" s="7" t="n">
        <f aca="false">MIN(D40:M40)</f>
        <v>-66.35</v>
      </c>
      <c r="Q40" s="7" t="n">
        <f aca="false">MAX(D40:M40)</f>
        <v>-65.68</v>
      </c>
    </row>
    <row r="41" customFormat="false" ht="26.85" hidden="false" customHeight="false" outlineLevel="0" collapsed="false">
      <c r="A41" s="6" t="s">
        <v>36</v>
      </c>
      <c r="B41" s="6" t="n">
        <v>8</v>
      </c>
      <c r="C41" s="6" t="n">
        <v>-73</v>
      </c>
      <c r="D41" s="6" t="n">
        <v>-72.88</v>
      </c>
      <c r="E41" s="6" t="n">
        <v>-73.15</v>
      </c>
      <c r="F41" s="6" t="n">
        <v>-73.32</v>
      </c>
      <c r="G41" s="6" t="n">
        <v>-72.7</v>
      </c>
      <c r="H41" s="6" t="n">
        <v>-73.02</v>
      </c>
      <c r="I41" s="6" t="n">
        <v>-73.21</v>
      </c>
      <c r="J41" s="6" t="n">
        <v>-72.65</v>
      </c>
      <c r="K41" s="6" t="n">
        <v>-73.28</v>
      </c>
      <c r="L41" s="6" t="n">
        <v>-72.91</v>
      </c>
      <c r="M41" s="6" t="n">
        <v>-73.05</v>
      </c>
      <c r="N41" s="7" t="n">
        <f aca="false">AVERAGE(D41:M41)</f>
        <v>-73.017</v>
      </c>
      <c r="O41" s="7" t="n">
        <f aca="false">STDEV(D41:M41)</f>
        <v>0.231519137677882</v>
      </c>
      <c r="P41" s="7" t="n">
        <f aca="false">MIN(D41:M41)</f>
        <v>-73.32</v>
      </c>
      <c r="Q41" s="7" t="n">
        <f aca="false">MAX(D41:M41)</f>
        <v>-72.65</v>
      </c>
    </row>
    <row r="42" customFormat="false" ht="26.85" hidden="false" customHeight="false" outlineLevel="0" collapsed="false">
      <c r="A42" s="6" t="s">
        <v>36</v>
      </c>
      <c r="B42" s="6" t="n">
        <v>9</v>
      </c>
      <c r="C42" s="6" t="n">
        <v>-76</v>
      </c>
      <c r="D42" s="6" t="n">
        <v>-75.12</v>
      </c>
      <c r="E42" s="6" t="n">
        <v>-75.85</v>
      </c>
      <c r="F42" s="6" t="n">
        <v>-76.28</v>
      </c>
      <c r="G42" s="6" t="n">
        <v>-75.7</v>
      </c>
      <c r="H42" s="6" t="n">
        <v>-76.04</v>
      </c>
      <c r="I42" s="6" t="n">
        <v>-76.21</v>
      </c>
      <c r="J42" s="6" t="n">
        <v>-75.68</v>
      </c>
      <c r="K42" s="6" t="n">
        <v>-76.35</v>
      </c>
      <c r="L42" s="6" t="n">
        <v>-75.91</v>
      </c>
      <c r="M42" s="6" t="n">
        <v>-76.05</v>
      </c>
      <c r="N42" s="7" t="n">
        <f aca="false">AVERAGE(D42:M42)</f>
        <v>-75.919</v>
      </c>
      <c r="O42" s="7" t="n">
        <f aca="false">STDEV(D42:M42)</f>
        <v>0.362229209203231</v>
      </c>
      <c r="P42" s="7" t="n">
        <f aca="false">MIN(D42:M42)</f>
        <v>-76.35</v>
      </c>
      <c r="Q42" s="7" t="n">
        <f aca="false">MAX(D42:M42)</f>
        <v>-75.12</v>
      </c>
    </row>
    <row r="43" customFormat="false" ht="26.85" hidden="false" customHeight="false" outlineLevel="0" collapsed="false">
      <c r="A43" s="6" t="s">
        <v>36</v>
      </c>
      <c r="B43" s="6" t="n">
        <v>10</v>
      </c>
      <c r="C43" s="6" t="n">
        <v>-74</v>
      </c>
      <c r="D43" s="6" t="n">
        <v>-73.88</v>
      </c>
      <c r="E43" s="6" t="n">
        <v>-74.15</v>
      </c>
      <c r="F43" s="6" t="n">
        <v>-74.32</v>
      </c>
      <c r="G43" s="6" t="n">
        <v>-73.7</v>
      </c>
      <c r="H43" s="6" t="n">
        <v>-74.02</v>
      </c>
      <c r="I43" s="6" t="n">
        <v>-74.21</v>
      </c>
      <c r="J43" s="6" t="n">
        <v>-73.65</v>
      </c>
      <c r="K43" s="6" t="n">
        <v>-74.28</v>
      </c>
      <c r="L43" s="6" t="n">
        <v>-73.91</v>
      </c>
      <c r="M43" s="6" t="n">
        <v>-74.05</v>
      </c>
      <c r="N43" s="7" t="n">
        <f aca="false">AVERAGE(D43:M43)</f>
        <v>-74.017</v>
      </c>
      <c r="O43" s="7" t="n">
        <f aca="false">STDEV(D43:M43)</f>
        <v>0.231519137677882</v>
      </c>
      <c r="P43" s="7" t="n">
        <f aca="false">MIN(D43:M43)</f>
        <v>-74.32</v>
      </c>
      <c r="Q43" s="7" t="n">
        <f aca="false">MAX(D43:M43)</f>
        <v>-73.65</v>
      </c>
    </row>
    <row r="44" customFormat="false" ht="26.85" hidden="false" customHeight="false" outlineLevel="0" collapsed="false">
      <c r="A44" s="6" t="s">
        <v>36</v>
      </c>
      <c r="B44" s="6" t="n">
        <v>11</v>
      </c>
      <c r="C44" s="6" t="n">
        <v>-76</v>
      </c>
      <c r="D44" s="6" t="n">
        <v>-76.15</v>
      </c>
      <c r="E44" s="6" t="n">
        <v>-75.82</v>
      </c>
      <c r="F44" s="6" t="n">
        <v>-76.28</v>
      </c>
      <c r="G44" s="6" t="n">
        <v>-75.72</v>
      </c>
      <c r="H44" s="6" t="n">
        <v>-76.04</v>
      </c>
      <c r="I44" s="6" t="n">
        <v>-76.21</v>
      </c>
      <c r="J44" s="6" t="n">
        <v>-75.68</v>
      </c>
      <c r="K44" s="6" t="n">
        <v>-76.35</v>
      </c>
      <c r="L44" s="6" t="n">
        <v>-75.91</v>
      </c>
      <c r="M44" s="6" t="n">
        <v>-76.05</v>
      </c>
      <c r="N44" s="7" t="n">
        <f aca="false">AVERAGE(D44:M44)</f>
        <v>-76.021</v>
      </c>
      <c r="O44" s="7" t="n">
        <f aca="false">STDEV(D44:M44)</f>
        <v>0.232973532116132</v>
      </c>
      <c r="P44" s="7" t="n">
        <f aca="false">MIN(D44:M44)</f>
        <v>-76.35</v>
      </c>
      <c r="Q44" s="7" t="n">
        <f aca="false">MAX(D44:M44)</f>
        <v>-75.68</v>
      </c>
    </row>
    <row r="45" customFormat="false" ht="26.85" hidden="false" customHeight="false" outlineLevel="0" collapsed="false">
      <c r="A45" s="6" t="s">
        <v>36</v>
      </c>
      <c r="B45" s="6" t="n">
        <v>12</v>
      </c>
      <c r="C45" s="6" t="n">
        <v>-79</v>
      </c>
      <c r="D45" s="6" t="n">
        <v>-78.88</v>
      </c>
      <c r="E45" s="6" t="n">
        <v>-79.15</v>
      </c>
      <c r="F45" s="6" t="n">
        <v>-79.32</v>
      </c>
      <c r="G45" s="6" t="n">
        <v>-78.7</v>
      </c>
      <c r="H45" s="6" t="n">
        <v>-79.02</v>
      </c>
      <c r="I45" s="6" t="n">
        <v>-79.21</v>
      </c>
      <c r="J45" s="6" t="n">
        <v>-78.65</v>
      </c>
      <c r="K45" s="6" t="n">
        <v>-79.28</v>
      </c>
      <c r="L45" s="6" t="n">
        <v>-78.91</v>
      </c>
      <c r="M45" s="6" t="n">
        <v>-79.05</v>
      </c>
      <c r="N45" s="7" t="n">
        <f aca="false">AVERAGE(D45:M45)</f>
        <v>-79.017</v>
      </c>
      <c r="O45" s="7" t="n">
        <f aca="false">STDEV(D45:M45)</f>
        <v>0.231519137677882</v>
      </c>
      <c r="P45" s="7" t="n">
        <f aca="false">MIN(D45:M45)</f>
        <v>-79.32</v>
      </c>
      <c r="Q45" s="7" t="n">
        <f aca="false">MAX(D45:M45)</f>
        <v>-78.65</v>
      </c>
    </row>
    <row r="46" customFormat="false" ht="26.85" hidden="false" customHeight="false" outlineLevel="0" collapsed="false">
      <c r="A46" s="6" t="s">
        <v>36</v>
      </c>
      <c r="B46" s="6" t="n">
        <v>13</v>
      </c>
      <c r="C46" s="6" t="n">
        <v>-83</v>
      </c>
      <c r="D46" s="6" t="n">
        <v>-83.12</v>
      </c>
      <c r="E46" s="6" t="n">
        <v>-82.85</v>
      </c>
      <c r="F46" s="6" t="n">
        <v>-83.28</v>
      </c>
      <c r="G46" s="6" t="n">
        <v>-82.7</v>
      </c>
      <c r="H46" s="6" t="n">
        <v>-83.04</v>
      </c>
      <c r="I46" s="6" t="n">
        <v>-83.21</v>
      </c>
      <c r="J46" s="6" t="n">
        <v>-82.68</v>
      </c>
      <c r="K46" s="6" t="n">
        <v>-83.35</v>
      </c>
      <c r="L46" s="6" t="n">
        <v>-82.91</v>
      </c>
      <c r="M46" s="6" t="n">
        <v>-83.05</v>
      </c>
      <c r="N46" s="7" t="n">
        <f aca="false">AVERAGE(D46:M46)</f>
        <v>-83.019</v>
      </c>
      <c r="O46" s="7" t="n">
        <f aca="false">STDEV(D46:M46)</f>
        <v>0.231634290303581</v>
      </c>
      <c r="P46" s="7" t="n">
        <f aca="false">MIN(D46:M46)</f>
        <v>-83.35</v>
      </c>
      <c r="Q46" s="7" t="n">
        <f aca="false">MAX(D46:M46)</f>
        <v>-82.68</v>
      </c>
    </row>
    <row r="47" customFormat="false" ht="26.85" hidden="false" customHeight="false" outlineLevel="0" collapsed="false">
      <c r="A47" s="6" t="s">
        <v>36</v>
      </c>
      <c r="B47" s="6" t="n">
        <v>14</v>
      </c>
      <c r="C47" s="6" t="n">
        <v>-77</v>
      </c>
      <c r="D47" s="6" t="n">
        <v>-76.88</v>
      </c>
      <c r="E47" s="6" t="n">
        <v>-77.15</v>
      </c>
      <c r="F47" s="6" t="n">
        <v>-77.32</v>
      </c>
      <c r="G47" s="6" t="n">
        <v>-76.7</v>
      </c>
      <c r="H47" s="6" t="n">
        <v>-77.04</v>
      </c>
      <c r="I47" s="6" t="n">
        <v>-77.21</v>
      </c>
      <c r="J47" s="6" t="n">
        <v>-76.65</v>
      </c>
      <c r="K47" s="6" t="n">
        <v>-77.28</v>
      </c>
      <c r="L47" s="6" t="n">
        <v>-76.91</v>
      </c>
      <c r="M47" s="6" t="n">
        <v>-77.05</v>
      </c>
      <c r="N47" s="7" t="n">
        <f aca="false">AVERAGE(D47:M47)</f>
        <v>-77.019</v>
      </c>
      <c r="O47" s="7" t="n">
        <f aca="false">STDEV(D47:M47)</f>
        <v>0.231634290303581</v>
      </c>
      <c r="P47" s="7" t="n">
        <f aca="false">MIN(D47:M47)</f>
        <v>-77.32</v>
      </c>
      <c r="Q47" s="7" t="n">
        <f aca="false">MAX(D47:M47)</f>
        <v>-76.65</v>
      </c>
    </row>
    <row r="48" customFormat="false" ht="26.85" hidden="false" customHeight="false" outlineLevel="0" collapsed="false">
      <c r="A48" s="6" t="s">
        <v>36</v>
      </c>
      <c r="B48" s="6" t="n">
        <v>15</v>
      </c>
      <c r="C48" s="6" t="n">
        <v>-80</v>
      </c>
      <c r="D48" s="6" t="n">
        <v>-80.15</v>
      </c>
      <c r="E48" s="6" t="n">
        <v>-79.82</v>
      </c>
      <c r="F48" s="6" t="n">
        <v>-80.28</v>
      </c>
      <c r="G48" s="6" t="n">
        <v>-79.72</v>
      </c>
      <c r="H48" s="6" t="n">
        <v>-80.04</v>
      </c>
      <c r="I48" s="6" t="n">
        <v>-80.21</v>
      </c>
      <c r="J48" s="6" t="n">
        <v>-79.68</v>
      </c>
      <c r="K48" s="6" t="n">
        <v>-80.35</v>
      </c>
      <c r="L48" s="6" t="n">
        <v>-79.91</v>
      </c>
      <c r="M48" s="6" t="n">
        <v>-80.05</v>
      </c>
      <c r="N48" s="7" t="n">
        <f aca="false">AVERAGE(D48:M48)</f>
        <v>-80.021</v>
      </c>
      <c r="O48" s="7" t="n">
        <f aca="false">STDEV(D48:M48)</f>
        <v>0.232973532116132</v>
      </c>
      <c r="P48" s="7" t="n">
        <f aca="false">MIN(D48:M48)</f>
        <v>-80.35</v>
      </c>
      <c r="Q48" s="7" t="n">
        <f aca="false">MAX(D48:M48)</f>
        <v>-79.68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  <col collapsed="false" customWidth="true" hidden="false" outlineLevel="0" max="3" min="3" style="0" width="24"/>
    <col collapsed="false" customWidth="true" hidden="false" outlineLevel="0" max="13" min="4" style="0" width="12"/>
    <col collapsed="false" customWidth="true" hidden="false" outlineLevel="0" max="14" min="14" style="0" width="16"/>
    <col collapsed="false" customWidth="true" hidden="false" outlineLevel="0" max="17" min="15" style="0" width="14"/>
  </cols>
  <sheetData>
    <row r="1" customFormat="false" ht="26.85" hidden="false" customHeight="false" outlineLevel="0" collapsed="false">
      <c r="A1" s="5" t="s">
        <v>17</v>
      </c>
      <c r="B1" s="5" t="s">
        <v>37</v>
      </c>
      <c r="C1" s="5" t="s">
        <v>38</v>
      </c>
      <c r="D1" s="5" t="s">
        <v>20</v>
      </c>
      <c r="E1" s="5" t="s">
        <v>21</v>
      </c>
      <c r="F1" s="5" t="s">
        <v>22</v>
      </c>
      <c r="G1" s="5" t="s">
        <v>23</v>
      </c>
      <c r="H1" s="5" t="s">
        <v>24</v>
      </c>
      <c r="I1" s="5" t="s">
        <v>25</v>
      </c>
      <c r="J1" s="5" t="s">
        <v>26</v>
      </c>
      <c r="K1" s="5" t="s">
        <v>27</v>
      </c>
      <c r="L1" s="5" t="s">
        <v>28</v>
      </c>
      <c r="M1" s="5" t="s">
        <v>29</v>
      </c>
      <c r="N1" s="5" t="s">
        <v>30</v>
      </c>
      <c r="O1" s="5" t="s">
        <v>31</v>
      </c>
      <c r="P1" s="5" t="s">
        <v>32</v>
      </c>
      <c r="Q1" s="5" t="s">
        <v>33</v>
      </c>
    </row>
    <row r="2" customFormat="false" ht="15" hidden="false" customHeight="false" outlineLevel="0" collapsed="false">
      <c r="A2" s="6" t="s">
        <v>34</v>
      </c>
      <c r="B2" s="6" t="s">
        <v>39</v>
      </c>
      <c r="C2" s="6" t="n">
        <v>1</v>
      </c>
      <c r="D2" s="6" t="n">
        <v>-44</v>
      </c>
      <c r="E2" s="6" t="n">
        <v>-43</v>
      </c>
      <c r="F2" s="6" t="n">
        <v>-45</v>
      </c>
      <c r="G2" s="6" t="n">
        <v>-44</v>
      </c>
      <c r="H2" s="6" t="n">
        <v>-47</v>
      </c>
      <c r="I2" s="6" t="n">
        <v>-44</v>
      </c>
      <c r="J2" s="6" t="n">
        <v>-43</v>
      </c>
      <c r="K2" s="6" t="n">
        <v>-46</v>
      </c>
      <c r="L2" s="6" t="n">
        <v>-44</v>
      </c>
      <c r="M2" s="6" t="n">
        <v>-44</v>
      </c>
      <c r="N2" s="7" t="n">
        <f aca="false">AVERAGE(D2:M2)</f>
        <v>-44.4</v>
      </c>
      <c r="O2" s="7" t="n">
        <f aca="false">STDEV(D2:M2)</f>
        <v>1.26491106406735</v>
      </c>
      <c r="P2" s="7" t="n">
        <f aca="false">MIN(D2:M2)</f>
        <v>-47</v>
      </c>
      <c r="Q2" s="7" t="n">
        <f aca="false">MAX(D2:M2)</f>
        <v>-43</v>
      </c>
    </row>
    <row r="3" customFormat="false" ht="15" hidden="false" customHeight="false" outlineLevel="0" collapsed="false">
      <c r="A3" s="6" t="s">
        <v>34</v>
      </c>
      <c r="B3" s="6" t="s">
        <v>39</v>
      </c>
      <c r="C3" s="6" t="n">
        <v>2</v>
      </c>
      <c r="D3" s="6" t="n">
        <v>-46</v>
      </c>
      <c r="E3" s="6" t="n">
        <v>-45</v>
      </c>
      <c r="F3" s="6" t="n">
        <v>-48</v>
      </c>
      <c r="G3" s="6" t="n">
        <v>-46</v>
      </c>
      <c r="H3" s="6" t="n">
        <v>-47</v>
      </c>
      <c r="I3" s="6" t="n">
        <v>-44</v>
      </c>
      <c r="J3" s="6" t="n">
        <v>-46</v>
      </c>
      <c r="K3" s="6" t="n">
        <v>-49</v>
      </c>
      <c r="L3" s="6" t="n">
        <v>-45</v>
      </c>
      <c r="M3" s="6" t="n">
        <v>-46</v>
      </c>
      <c r="N3" s="7" t="n">
        <f aca="false">AVERAGE(D3:M3)</f>
        <v>-46.2</v>
      </c>
      <c r="O3" s="7" t="n">
        <f aca="false">STDEV(D3:M3)</f>
        <v>1.47572957474524</v>
      </c>
      <c r="P3" s="7" t="n">
        <f aca="false">MIN(D3:M3)</f>
        <v>-49</v>
      </c>
      <c r="Q3" s="7" t="n">
        <f aca="false">MAX(D3:M3)</f>
        <v>-44</v>
      </c>
    </row>
    <row r="4" customFormat="false" ht="15" hidden="false" customHeight="false" outlineLevel="0" collapsed="false">
      <c r="A4" s="6" t="s">
        <v>34</v>
      </c>
      <c r="B4" s="6" t="s">
        <v>39</v>
      </c>
      <c r="C4" s="6" t="n">
        <v>3</v>
      </c>
      <c r="D4" s="6" t="n">
        <v>-48</v>
      </c>
      <c r="E4" s="6" t="n">
        <v>-46</v>
      </c>
      <c r="F4" s="6" t="n">
        <v>-49</v>
      </c>
      <c r="G4" s="6" t="n">
        <v>-51</v>
      </c>
      <c r="H4" s="6" t="n">
        <v>-47</v>
      </c>
      <c r="I4" s="6" t="n">
        <v>-48</v>
      </c>
      <c r="J4" s="6" t="n">
        <v>-50</v>
      </c>
      <c r="K4" s="6" t="n">
        <v>-48</v>
      </c>
      <c r="L4" s="6" t="n">
        <v>-45</v>
      </c>
      <c r="M4" s="6" t="n">
        <v>-48</v>
      </c>
      <c r="N4" s="7" t="n">
        <f aca="false">AVERAGE(D4:M4)</f>
        <v>-48</v>
      </c>
      <c r="O4" s="7" t="n">
        <f aca="false">STDEV(D4:M4)</f>
        <v>1.76383420737639</v>
      </c>
      <c r="P4" s="7" t="n">
        <f aca="false">MIN(D4:M4)</f>
        <v>-51</v>
      </c>
      <c r="Q4" s="7" t="n">
        <f aca="false">MAX(D4:M4)</f>
        <v>-45</v>
      </c>
    </row>
    <row r="5" customFormat="false" ht="15" hidden="false" customHeight="false" outlineLevel="0" collapsed="false">
      <c r="A5" s="6" t="s">
        <v>34</v>
      </c>
      <c r="B5" s="6" t="s">
        <v>39</v>
      </c>
      <c r="C5" s="6" t="n">
        <v>4</v>
      </c>
      <c r="D5" s="6" t="n">
        <v>-50</v>
      </c>
      <c r="E5" s="6" t="n">
        <v>-49</v>
      </c>
      <c r="F5" s="6" t="n">
        <v>-52</v>
      </c>
      <c r="G5" s="6" t="n">
        <v>-48</v>
      </c>
      <c r="H5" s="6" t="n">
        <v>-51</v>
      </c>
      <c r="I5" s="6" t="n">
        <v>-50</v>
      </c>
      <c r="J5" s="6" t="n">
        <v>-54</v>
      </c>
      <c r="K5" s="6" t="n">
        <v>-49</v>
      </c>
      <c r="L5" s="6" t="n">
        <v>-50</v>
      </c>
      <c r="M5" s="6" t="n">
        <v>-51</v>
      </c>
      <c r="N5" s="7" t="n">
        <f aca="false">AVERAGE(D5:M5)</f>
        <v>-50.4</v>
      </c>
      <c r="O5" s="7" t="n">
        <f aca="false">STDEV(D5:M5)</f>
        <v>1.71269767715535</v>
      </c>
      <c r="P5" s="7" t="n">
        <f aca="false">MIN(D5:M5)</f>
        <v>-54</v>
      </c>
      <c r="Q5" s="7" t="n">
        <f aca="false">MAX(D5:M5)</f>
        <v>-48</v>
      </c>
    </row>
    <row r="6" customFormat="false" ht="15" hidden="false" customHeight="false" outlineLevel="0" collapsed="false">
      <c r="A6" s="6" t="s">
        <v>34</v>
      </c>
      <c r="B6" s="6" t="s">
        <v>39</v>
      </c>
      <c r="C6" s="6" t="n">
        <v>5</v>
      </c>
      <c r="D6" s="6" t="n">
        <v>-53</v>
      </c>
      <c r="E6" s="6" t="n">
        <v>-52</v>
      </c>
      <c r="F6" s="6" t="n">
        <v>-56</v>
      </c>
      <c r="G6" s="6" t="n">
        <v>-53</v>
      </c>
      <c r="H6" s="6" t="n">
        <v>-54</v>
      </c>
      <c r="I6" s="6" t="n">
        <v>-51</v>
      </c>
      <c r="J6" s="6" t="n">
        <v>-53</v>
      </c>
      <c r="K6" s="6" t="n">
        <v>-52</v>
      </c>
      <c r="L6" s="6" t="n">
        <v>-57</v>
      </c>
      <c r="M6" s="6" t="n">
        <v>-53</v>
      </c>
      <c r="N6" s="7" t="n">
        <f aca="false">AVERAGE(D6:M6)</f>
        <v>-53.4</v>
      </c>
      <c r="O6" s="7" t="n">
        <f aca="false">STDEV(D6:M6)</f>
        <v>1.83787316694536</v>
      </c>
      <c r="P6" s="7" t="n">
        <f aca="false">MIN(D6:M6)</f>
        <v>-57</v>
      </c>
      <c r="Q6" s="7" t="n">
        <f aca="false">MAX(D6:M6)</f>
        <v>-51</v>
      </c>
    </row>
    <row r="7" customFormat="false" ht="15" hidden="false" customHeight="false" outlineLevel="0" collapsed="false">
      <c r="A7" s="6" t="s">
        <v>34</v>
      </c>
      <c r="B7" s="6" t="s">
        <v>39</v>
      </c>
      <c r="C7" s="6" t="n">
        <v>6</v>
      </c>
      <c r="D7" s="6" t="n">
        <v>-43</v>
      </c>
      <c r="E7" s="6" t="n">
        <v>-42</v>
      </c>
      <c r="F7" s="6" t="n">
        <v>-45</v>
      </c>
      <c r="G7" s="6" t="n">
        <v>-43</v>
      </c>
      <c r="H7" s="6" t="n">
        <v>-47</v>
      </c>
      <c r="I7" s="6" t="n">
        <v>-41</v>
      </c>
      <c r="J7" s="6" t="n">
        <v>-44</v>
      </c>
      <c r="K7" s="6" t="n">
        <v>-42</v>
      </c>
      <c r="L7" s="6" t="n">
        <v>-43</v>
      </c>
      <c r="M7" s="6" t="n">
        <v>-46</v>
      </c>
      <c r="N7" s="7" t="n">
        <f aca="false">AVERAGE(D7:M7)</f>
        <v>-43.6</v>
      </c>
      <c r="O7" s="7" t="n">
        <f aca="false">STDEV(D7:M7)</f>
        <v>1.89736659610103</v>
      </c>
      <c r="P7" s="7" t="n">
        <f aca="false">MIN(D7:M7)</f>
        <v>-47</v>
      </c>
      <c r="Q7" s="7" t="n">
        <f aca="false">MAX(D7:M7)</f>
        <v>-41</v>
      </c>
    </row>
    <row r="8" customFormat="false" ht="15" hidden="false" customHeight="false" outlineLevel="0" collapsed="false">
      <c r="A8" s="6" t="s">
        <v>34</v>
      </c>
      <c r="B8" s="6" t="s">
        <v>39</v>
      </c>
      <c r="C8" s="6" t="n">
        <v>7</v>
      </c>
      <c r="D8" s="6" t="n">
        <v>-54</v>
      </c>
      <c r="E8" s="6" t="n">
        <v>-53</v>
      </c>
      <c r="F8" s="6" t="n">
        <v>-57</v>
      </c>
      <c r="G8" s="6" t="n">
        <v>-55</v>
      </c>
      <c r="H8" s="6" t="n">
        <v>-52</v>
      </c>
      <c r="I8" s="6" t="n">
        <v>-54</v>
      </c>
      <c r="J8" s="6" t="n">
        <v>-58</v>
      </c>
      <c r="K8" s="6" t="n">
        <v>-53</v>
      </c>
      <c r="L8" s="6" t="n">
        <v>-54</v>
      </c>
      <c r="M8" s="6" t="n">
        <v>-56</v>
      </c>
      <c r="N8" s="7" t="n">
        <f aca="false">AVERAGE(D8:M8)</f>
        <v>-54.6</v>
      </c>
      <c r="O8" s="7" t="n">
        <f aca="false">STDEV(D8:M8)</f>
        <v>1.89736659610103</v>
      </c>
      <c r="P8" s="7" t="n">
        <f aca="false">MIN(D8:M8)</f>
        <v>-58</v>
      </c>
      <c r="Q8" s="7" t="n">
        <f aca="false">MAX(D8:M8)</f>
        <v>-52</v>
      </c>
    </row>
    <row r="9" customFormat="false" ht="15" hidden="false" customHeight="false" outlineLevel="0" collapsed="false">
      <c r="A9" s="6" t="s">
        <v>34</v>
      </c>
      <c r="B9" s="6" t="s">
        <v>39</v>
      </c>
      <c r="C9" s="6" t="n">
        <v>8</v>
      </c>
      <c r="D9" s="6" t="n">
        <v>-56</v>
      </c>
      <c r="E9" s="6" t="n">
        <v>-54</v>
      </c>
      <c r="F9" s="6" t="n">
        <v>-57</v>
      </c>
      <c r="G9" s="6" t="n">
        <v>-59</v>
      </c>
      <c r="H9" s="6" t="n">
        <v>-55</v>
      </c>
      <c r="I9" s="6" t="n">
        <v>-56</v>
      </c>
      <c r="J9" s="6" t="n">
        <v>-53</v>
      </c>
      <c r="K9" s="6" t="n">
        <v>-58</v>
      </c>
      <c r="L9" s="6" t="n">
        <v>-56</v>
      </c>
      <c r="M9" s="6" t="n">
        <v>-57</v>
      </c>
      <c r="N9" s="7" t="n">
        <f aca="false">AVERAGE(D9:M9)</f>
        <v>-56.1</v>
      </c>
      <c r="O9" s="7" t="n">
        <f aca="false">STDEV(D9:M9)</f>
        <v>1.79195734076208</v>
      </c>
      <c r="P9" s="7" t="n">
        <f aca="false">MIN(D9:M9)</f>
        <v>-59</v>
      </c>
      <c r="Q9" s="7" t="n">
        <f aca="false">MAX(D9:M9)</f>
        <v>-53</v>
      </c>
    </row>
    <row r="10" customFormat="false" ht="15" hidden="false" customHeight="false" outlineLevel="0" collapsed="false">
      <c r="A10" s="6" t="s">
        <v>34</v>
      </c>
      <c r="B10" s="6" t="s">
        <v>39</v>
      </c>
      <c r="C10" s="6" t="n">
        <v>9</v>
      </c>
      <c r="D10" s="6" t="n">
        <v>-59</v>
      </c>
      <c r="E10" s="6" t="n">
        <v>-57</v>
      </c>
      <c r="F10" s="6" t="n">
        <v>-61</v>
      </c>
      <c r="G10" s="6" t="n">
        <v>-58</v>
      </c>
      <c r="H10" s="6" t="n">
        <v>-60</v>
      </c>
      <c r="I10" s="6" t="n">
        <v>-63</v>
      </c>
      <c r="J10" s="6" t="n">
        <v>-59</v>
      </c>
      <c r="K10" s="6" t="n">
        <v>-56</v>
      </c>
      <c r="L10" s="6" t="n">
        <v>-60</v>
      </c>
      <c r="M10" s="6" t="n">
        <v>-59</v>
      </c>
      <c r="N10" s="7" t="n">
        <f aca="false">AVERAGE(D10:M10)</f>
        <v>-59.2</v>
      </c>
      <c r="O10" s="7" t="n">
        <f aca="false">STDEV(D10:M10)</f>
        <v>1.98885785202351</v>
      </c>
      <c r="P10" s="7" t="n">
        <f aca="false">MIN(D10:M10)</f>
        <v>-63</v>
      </c>
      <c r="Q10" s="7" t="n">
        <f aca="false">MAX(D10:M10)</f>
        <v>-56</v>
      </c>
    </row>
    <row r="11" customFormat="false" ht="15" hidden="false" customHeight="false" outlineLevel="0" collapsed="false">
      <c r="A11" s="6" t="s">
        <v>34</v>
      </c>
      <c r="B11" s="6" t="s">
        <v>39</v>
      </c>
      <c r="C11" s="6" t="n">
        <v>10</v>
      </c>
      <c r="D11" s="6" t="n">
        <v>-47</v>
      </c>
      <c r="E11" s="6" t="n">
        <v>-46</v>
      </c>
      <c r="F11" s="6" t="n">
        <v>-49</v>
      </c>
      <c r="G11" s="6" t="n">
        <v>-45</v>
      </c>
      <c r="H11" s="6" t="n">
        <v>-48</v>
      </c>
      <c r="I11" s="6" t="n">
        <v>-47</v>
      </c>
      <c r="J11" s="6" t="n">
        <v>-50</v>
      </c>
      <c r="K11" s="6" t="n">
        <v>-47</v>
      </c>
      <c r="L11" s="6" t="n">
        <v>-44</v>
      </c>
      <c r="M11" s="6" t="n">
        <v>-47</v>
      </c>
      <c r="N11" s="7" t="n">
        <f aca="false">AVERAGE(D11:M11)</f>
        <v>-47</v>
      </c>
      <c r="O11" s="7" t="n">
        <f aca="false">STDEV(D11:M11)</f>
        <v>1.76383420737639</v>
      </c>
      <c r="P11" s="7" t="n">
        <f aca="false">MIN(D11:M11)</f>
        <v>-50</v>
      </c>
      <c r="Q11" s="7" t="n">
        <f aca="false">MAX(D11:M11)</f>
        <v>-44</v>
      </c>
    </row>
    <row r="12" customFormat="false" ht="15" hidden="false" customHeight="false" outlineLevel="0" collapsed="false">
      <c r="A12" s="6" t="s">
        <v>34</v>
      </c>
      <c r="B12" s="6" t="s">
        <v>39</v>
      </c>
      <c r="C12" s="6" t="n">
        <v>11</v>
      </c>
      <c r="D12" s="6" t="n">
        <v>-45</v>
      </c>
      <c r="E12" s="6" t="n">
        <v>-43</v>
      </c>
      <c r="F12" s="6" t="n">
        <v>-47</v>
      </c>
      <c r="G12" s="6" t="n">
        <v>-44</v>
      </c>
      <c r="H12" s="6" t="n">
        <v>-48</v>
      </c>
      <c r="I12" s="6" t="n">
        <v>-46</v>
      </c>
      <c r="J12" s="6" t="n">
        <v>-45</v>
      </c>
      <c r="K12" s="6" t="n">
        <v>-42</v>
      </c>
      <c r="L12" s="6" t="n">
        <v>-45</v>
      </c>
      <c r="M12" s="6" t="n">
        <v>-47</v>
      </c>
      <c r="N12" s="7" t="n">
        <f aca="false">AVERAGE(D12:M12)</f>
        <v>-45.2</v>
      </c>
      <c r="O12" s="7" t="n">
        <f aca="false">STDEV(D12:M12)</f>
        <v>1.87379590967403</v>
      </c>
      <c r="P12" s="7" t="n">
        <f aca="false">MIN(D12:M12)</f>
        <v>-48</v>
      </c>
      <c r="Q12" s="7" t="n">
        <f aca="false">MAX(D12:M12)</f>
        <v>-42</v>
      </c>
    </row>
    <row r="13" customFormat="false" ht="15" hidden="false" customHeight="false" outlineLevel="0" collapsed="false">
      <c r="A13" s="6" t="s">
        <v>34</v>
      </c>
      <c r="B13" s="6" t="s">
        <v>39</v>
      </c>
      <c r="C13" s="6" t="n">
        <v>12</v>
      </c>
      <c r="D13" s="6" t="n">
        <v>-40</v>
      </c>
      <c r="E13" s="6" t="n">
        <v>-38</v>
      </c>
      <c r="F13" s="6" t="n">
        <v>-43</v>
      </c>
      <c r="G13" s="6" t="n">
        <v>-39</v>
      </c>
      <c r="H13" s="6" t="n">
        <v>-41</v>
      </c>
      <c r="I13" s="6" t="n">
        <v>-40</v>
      </c>
      <c r="J13" s="6" t="n">
        <v>-44</v>
      </c>
      <c r="K13" s="6" t="n">
        <v>-39</v>
      </c>
      <c r="L13" s="6" t="n">
        <v>-42</v>
      </c>
      <c r="M13" s="6" t="n">
        <v>-40</v>
      </c>
      <c r="N13" s="7" t="n">
        <f aca="false">AVERAGE(D13:M13)</f>
        <v>-40.6</v>
      </c>
      <c r="O13" s="7" t="n">
        <f aca="false">STDEV(D13:M13)</f>
        <v>1.89736659610103</v>
      </c>
      <c r="P13" s="7" t="n">
        <f aca="false">MIN(D13:M13)</f>
        <v>-44</v>
      </c>
      <c r="Q13" s="7" t="n">
        <f aca="false">MAX(D13:M13)</f>
        <v>-38</v>
      </c>
    </row>
    <row r="14" customFormat="false" ht="15" hidden="false" customHeight="false" outlineLevel="0" collapsed="false">
      <c r="A14" s="6" t="s">
        <v>34</v>
      </c>
      <c r="B14" s="6" t="s">
        <v>39</v>
      </c>
      <c r="C14" s="6" t="n">
        <v>13</v>
      </c>
      <c r="D14" s="6" t="n">
        <v>-52</v>
      </c>
      <c r="E14" s="6" t="n">
        <v>-50</v>
      </c>
      <c r="F14" s="6" t="n">
        <v>-54</v>
      </c>
      <c r="G14" s="6" t="n">
        <v>-53</v>
      </c>
      <c r="H14" s="6" t="n">
        <v>-51</v>
      </c>
      <c r="I14" s="6" t="n">
        <v>-52</v>
      </c>
      <c r="J14" s="6" t="n">
        <v>-56</v>
      </c>
      <c r="K14" s="6" t="n">
        <v>-51</v>
      </c>
      <c r="L14" s="6" t="n">
        <v>-53</v>
      </c>
      <c r="M14" s="6" t="n">
        <v>-52</v>
      </c>
      <c r="N14" s="7" t="n">
        <f aca="false">AVERAGE(D14:M14)</f>
        <v>-52.4</v>
      </c>
      <c r="O14" s="7" t="n">
        <f aca="false">STDEV(D14:M14)</f>
        <v>1.71269767715535</v>
      </c>
      <c r="P14" s="7" t="n">
        <f aca="false">MIN(D14:M14)</f>
        <v>-56</v>
      </c>
      <c r="Q14" s="7" t="n">
        <f aca="false">MAX(D14:M14)</f>
        <v>-50</v>
      </c>
    </row>
    <row r="15" customFormat="false" ht="15" hidden="false" customHeight="false" outlineLevel="0" collapsed="false">
      <c r="A15" s="6" t="s">
        <v>34</v>
      </c>
      <c r="B15" s="6" t="s">
        <v>39</v>
      </c>
      <c r="C15" s="6" t="n">
        <v>14</v>
      </c>
      <c r="D15" s="6" t="n">
        <v>-48</v>
      </c>
      <c r="E15" s="6" t="n">
        <v>-47</v>
      </c>
      <c r="F15" s="6" t="n">
        <v>-50</v>
      </c>
      <c r="G15" s="6" t="n">
        <v>-46</v>
      </c>
      <c r="H15" s="6" t="n">
        <v>-51</v>
      </c>
      <c r="I15" s="6" t="n">
        <v>-49</v>
      </c>
      <c r="J15" s="6" t="n">
        <v>-48</v>
      </c>
      <c r="K15" s="6" t="n">
        <v>-52</v>
      </c>
      <c r="L15" s="6" t="n">
        <v>-47</v>
      </c>
      <c r="M15" s="6" t="n">
        <v>-48</v>
      </c>
      <c r="N15" s="7" t="n">
        <f aca="false">AVERAGE(D15:M15)</f>
        <v>-48.6</v>
      </c>
      <c r="O15" s="7" t="n">
        <f aca="false">STDEV(D15:M15)</f>
        <v>1.89736659610103</v>
      </c>
      <c r="P15" s="7" t="n">
        <f aca="false">MIN(D15:M15)</f>
        <v>-52</v>
      </c>
      <c r="Q15" s="7" t="n">
        <f aca="false">MAX(D15:M15)</f>
        <v>-46</v>
      </c>
    </row>
    <row r="16" customFormat="false" ht="15" hidden="false" customHeight="false" outlineLevel="0" collapsed="false">
      <c r="A16" s="6" t="s">
        <v>34</v>
      </c>
      <c r="B16" s="6" t="s">
        <v>39</v>
      </c>
      <c r="C16" s="6" t="n">
        <v>15</v>
      </c>
      <c r="D16" s="6" t="n">
        <v>-54</v>
      </c>
      <c r="E16" s="6" t="n">
        <v>-52</v>
      </c>
      <c r="F16" s="6" t="n">
        <v>-57</v>
      </c>
      <c r="G16" s="6" t="n">
        <v>-55</v>
      </c>
      <c r="H16" s="6" t="n">
        <v>-53</v>
      </c>
      <c r="I16" s="6" t="n">
        <v>-54</v>
      </c>
      <c r="J16" s="6" t="n">
        <v>-58</v>
      </c>
      <c r="K16" s="6" t="n">
        <v>-51</v>
      </c>
      <c r="L16" s="6" t="n">
        <v>-55</v>
      </c>
      <c r="M16" s="6" t="n">
        <v>-54</v>
      </c>
      <c r="N16" s="7" t="n">
        <f aca="false">AVERAGE(D16:M16)</f>
        <v>-54.3</v>
      </c>
      <c r="O16" s="7" t="n">
        <f aca="false">STDEV(D16:M16)</f>
        <v>2.11081869319834</v>
      </c>
      <c r="P16" s="7" t="n">
        <f aca="false">MIN(D16:M16)</f>
        <v>-58</v>
      </c>
      <c r="Q16" s="7" t="n">
        <f aca="false">MAX(D16:M16)</f>
        <v>-51</v>
      </c>
    </row>
    <row r="18" customFormat="false" ht="15" hidden="false" customHeight="false" outlineLevel="0" collapsed="false">
      <c r="A18" s="6" t="s">
        <v>34</v>
      </c>
      <c r="B18" s="6" t="s">
        <v>40</v>
      </c>
      <c r="C18" s="6" t="n">
        <v>1</v>
      </c>
      <c r="D18" s="6" t="n">
        <v>-85</v>
      </c>
      <c r="E18" s="6" t="n">
        <v>-83</v>
      </c>
      <c r="F18" s="6" t="n">
        <v>-87</v>
      </c>
      <c r="G18" s="6" t="n">
        <v>-86</v>
      </c>
      <c r="H18" s="6" t="n">
        <v>-84</v>
      </c>
      <c r="I18" s="6" t="n">
        <v>-85</v>
      </c>
      <c r="J18" s="6" t="n">
        <v>-88</v>
      </c>
      <c r="K18" s="6" t="n">
        <v>-84</v>
      </c>
      <c r="L18" s="6" t="n">
        <v>-86</v>
      </c>
      <c r="M18" s="6" t="n">
        <v>-85</v>
      </c>
      <c r="N18" s="7" t="n">
        <f aca="false">AVERAGE(D18:M18)</f>
        <v>-85.3</v>
      </c>
      <c r="O18" s="7" t="n">
        <f aca="false">STDEV(D18:M18)</f>
        <v>1.49443411809733</v>
      </c>
      <c r="P18" s="7" t="n">
        <f aca="false">MIN(D18:M18)</f>
        <v>-88</v>
      </c>
      <c r="Q18" s="7" t="n">
        <f aca="false">MAX(D18:M18)</f>
        <v>-83</v>
      </c>
    </row>
    <row r="19" customFormat="false" ht="15" hidden="false" customHeight="false" outlineLevel="0" collapsed="false">
      <c r="A19" s="6" t="s">
        <v>34</v>
      </c>
      <c r="B19" s="6" t="s">
        <v>40</v>
      </c>
      <c r="C19" s="6" t="n">
        <v>2</v>
      </c>
      <c r="D19" s="6" t="n">
        <v>-79</v>
      </c>
      <c r="E19" s="6" t="n">
        <v>-77</v>
      </c>
      <c r="F19" s="6" t="n">
        <v>-81</v>
      </c>
      <c r="G19" s="6" t="n">
        <v>-80</v>
      </c>
      <c r="H19" s="6" t="n">
        <v>-78</v>
      </c>
      <c r="I19" s="6" t="n">
        <v>-79</v>
      </c>
      <c r="J19" s="6" t="n">
        <v>-83</v>
      </c>
      <c r="K19" s="6" t="n">
        <v>-78</v>
      </c>
      <c r="L19" s="6" t="n">
        <v>-80</v>
      </c>
      <c r="M19" s="6" t="n">
        <v>-79</v>
      </c>
      <c r="N19" s="7" t="n">
        <f aca="false">AVERAGE(D19:M19)</f>
        <v>-79.4</v>
      </c>
      <c r="O19" s="7" t="n">
        <f aca="false">STDEV(D19:M19)</f>
        <v>1.71269767715535</v>
      </c>
      <c r="P19" s="7" t="n">
        <f aca="false">MIN(D19:M19)</f>
        <v>-83</v>
      </c>
      <c r="Q19" s="7" t="n">
        <f aca="false">MAX(D19:M19)</f>
        <v>-77</v>
      </c>
    </row>
    <row r="20" customFormat="false" ht="15" hidden="false" customHeight="false" outlineLevel="0" collapsed="false">
      <c r="A20" s="6" t="s">
        <v>34</v>
      </c>
      <c r="B20" s="6" t="s">
        <v>40</v>
      </c>
      <c r="C20" s="6" t="n">
        <v>3</v>
      </c>
      <c r="D20" s="6" t="n">
        <v>-74</v>
      </c>
      <c r="E20" s="6" t="n">
        <v>-72</v>
      </c>
      <c r="F20" s="6" t="n">
        <v>-77</v>
      </c>
      <c r="G20" s="6" t="n">
        <v>-73</v>
      </c>
      <c r="H20" s="6" t="n">
        <v>-75</v>
      </c>
      <c r="I20" s="6" t="n">
        <v>-74</v>
      </c>
      <c r="J20" s="6" t="n">
        <v>-76</v>
      </c>
      <c r="K20" s="6" t="n">
        <v>-71</v>
      </c>
      <c r="L20" s="6" t="n">
        <v>-75</v>
      </c>
      <c r="M20" s="6" t="n">
        <v>-74</v>
      </c>
      <c r="N20" s="7" t="n">
        <f aca="false">AVERAGE(D20:M20)</f>
        <v>-74.1</v>
      </c>
      <c r="O20" s="7" t="n">
        <f aca="false">STDEV(D20:M20)</f>
        <v>1.79195734076208</v>
      </c>
      <c r="P20" s="7" t="n">
        <f aca="false">MIN(D20:M20)</f>
        <v>-77</v>
      </c>
      <c r="Q20" s="7" t="n">
        <f aca="false">MAX(D20:M20)</f>
        <v>-71</v>
      </c>
    </row>
    <row r="21" customFormat="false" ht="15" hidden="false" customHeight="false" outlineLevel="0" collapsed="false">
      <c r="A21" s="6" t="s">
        <v>34</v>
      </c>
      <c r="B21" s="6" t="s">
        <v>40</v>
      </c>
      <c r="C21" s="6" t="n">
        <v>4</v>
      </c>
      <c r="D21" s="6" t="n">
        <v>-81</v>
      </c>
      <c r="E21" s="6" t="n">
        <v>-79</v>
      </c>
      <c r="F21" s="6" t="n">
        <v>-84</v>
      </c>
      <c r="G21" s="6" t="n">
        <v>-80</v>
      </c>
      <c r="H21" s="6" t="n">
        <v>-82</v>
      </c>
      <c r="I21" s="6" t="n">
        <v>-81</v>
      </c>
      <c r="J21" s="6" t="n">
        <v>-83</v>
      </c>
      <c r="K21" s="6" t="n">
        <v>-79</v>
      </c>
      <c r="L21" s="6" t="n">
        <v>-82</v>
      </c>
      <c r="M21" s="6" t="n">
        <v>-81</v>
      </c>
      <c r="N21" s="7" t="n">
        <f aca="false">AVERAGE(D21:M21)</f>
        <v>-81.2</v>
      </c>
      <c r="O21" s="7" t="n">
        <f aca="false">STDEV(D21:M21)</f>
        <v>1.61932770686548</v>
      </c>
      <c r="P21" s="7" t="n">
        <f aca="false">MIN(D21:M21)</f>
        <v>-84</v>
      </c>
      <c r="Q21" s="7" t="n">
        <f aca="false">MAX(D21:M21)</f>
        <v>-79</v>
      </c>
    </row>
    <row r="22" customFormat="false" ht="15" hidden="false" customHeight="false" outlineLevel="0" collapsed="false">
      <c r="A22" s="6" t="s">
        <v>34</v>
      </c>
      <c r="B22" s="6" t="s">
        <v>40</v>
      </c>
      <c r="C22" s="6" t="n">
        <v>5</v>
      </c>
      <c r="D22" s="6" t="n">
        <v>-74</v>
      </c>
      <c r="E22" s="6" t="n">
        <v>-72</v>
      </c>
      <c r="F22" s="6" t="n">
        <v>-77</v>
      </c>
      <c r="G22" s="6" t="n">
        <v>-73</v>
      </c>
      <c r="H22" s="6" t="n">
        <v>-75</v>
      </c>
      <c r="I22" s="6" t="n">
        <v>-74</v>
      </c>
      <c r="J22" s="6" t="n">
        <v>-76</v>
      </c>
      <c r="K22" s="6" t="n">
        <v>-71</v>
      </c>
      <c r="L22" s="6" t="n">
        <v>-75</v>
      </c>
      <c r="M22" s="6" t="n">
        <v>-74</v>
      </c>
      <c r="N22" s="7" t="n">
        <f aca="false">AVERAGE(D22:M22)</f>
        <v>-74.1</v>
      </c>
      <c r="O22" s="7" t="n">
        <f aca="false">STDEV(D22:M22)</f>
        <v>1.79195734076208</v>
      </c>
      <c r="P22" s="7" t="n">
        <f aca="false">MIN(D22:M22)</f>
        <v>-77</v>
      </c>
      <c r="Q22" s="7" t="n">
        <f aca="false">MAX(D22:M22)</f>
        <v>-71</v>
      </c>
    </row>
    <row r="23" customFormat="false" ht="15" hidden="false" customHeight="false" outlineLevel="0" collapsed="false">
      <c r="A23" s="6" t="s">
        <v>34</v>
      </c>
      <c r="B23" s="6" t="s">
        <v>40</v>
      </c>
      <c r="C23" s="6" t="n">
        <v>6</v>
      </c>
      <c r="D23" s="6" t="n">
        <v>-77</v>
      </c>
      <c r="E23" s="6" t="n">
        <v>-75</v>
      </c>
      <c r="F23" s="6" t="n">
        <v>-80</v>
      </c>
      <c r="G23" s="6" t="n">
        <v>-76</v>
      </c>
      <c r="H23" s="6" t="n">
        <v>-78</v>
      </c>
      <c r="I23" s="6" t="n">
        <v>-77</v>
      </c>
      <c r="J23" s="6" t="n">
        <v>-81</v>
      </c>
      <c r="K23" s="6" t="n">
        <v>-74</v>
      </c>
      <c r="L23" s="6" t="n">
        <v>-79</v>
      </c>
      <c r="M23" s="6" t="n">
        <v>-77</v>
      </c>
      <c r="N23" s="7" t="n">
        <f aca="false">AVERAGE(D23:M23)</f>
        <v>-77.4</v>
      </c>
      <c r="O23" s="7" t="n">
        <f aca="false">STDEV(D23:M23)</f>
        <v>2.17050941281329</v>
      </c>
      <c r="P23" s="7" t="n">
        <f aca="false">MIN(D23:M23)</f>
        <v>-81</v>
      </c>
      <c r="Q23" s="7" t="n">
        <f aca="false">MAX(D23:M23)</f>
        <v>-74</v>
      </c>
    </row>
    <row r="24" customFormat="false" ht="15" hidden="false" customHeight="false" outlineLevel="0" collapsed="false">
      <c r="A24" s="6" t="s">
        <v>34</v>
      </c>
      <c r="B24" s="6" t="s">
        <v>40</v>
      </c>
      <c r="C24" s="6" t="n">
        <v>7</v>
      </c>
      <c r="D24" s="6" t="n">
        <v>-78</v>
      </c>
      <c r="E24" s="6" t="n">
        <v>-76</v>
      </c>
      <c r="F24" s="6" t="n">
        <v>-80</v>
      </c>
      <c r="G24" s="6" t="n">
        <v>-77</v>
      </c>
      <c r="H24" s="6" t="n">
        <v>-79</v>
      </c>
      <c r="I24" s="6" t="n">
        <v>-78</v>
      </c>
      <c r="J24" s="6" t="n">
        <v>-82</v>
      </c>
      <c r="K24" s="6" t="n">
        <v>-75</v>
      </c>
      <c r="L24" s="6" t="n">
        <v>-79</v>
      </c>
      <c r="M24" s="6" t="n">
        <v>-78</v>
      </c>
      <c r="N24" s="7" t="n">
        <f aca="false">AVERAGE(D24:M24)</f>
        <v>-78.2</v>
      </c>
      <c r="O24" s="7" t="n">
        <f aca="false">STDEV(D24:M24)</f>
        <v>1.98885785202351</v>
      </c>
      <c r="P24" s="7" t="n">
        <f aca="false">MIN(D24:M24)</f>
        <v>-82</v>
      </c>
      <c r="Q24" s="7" t="n">
        <f aca="false">MAX(D24:M24)</f>
        <v>-75</v>
      </c>
    </row>
    <row r="25" customFormat="false" ht="15" hidden="false" customHeight="false" outlineLevel="0" collapsed="false">
      <c r="A25" s="6" t="s">
        <v>34</v>
      </c>
      <c r="B25" s="6" t="s">
        <v>40</v>
      </c>
      <c r="C25" s="6" t="n">
        <v>8</v>
      </c>
      <c r="D25" s="6" t="n">
        <v>-80</v>
      </c>
      <c r="E25" s="6" t="n">
        <v>-77</v>
      </c>
      <c r="F25" s="6" t="n">
        <v>-83</v>
      </c>
      <c r="G25" s="6" t="n">
        <v>-79</v>
      </c>
      <c r="H25" s="6" t="n">
        <v>-81</v>
      </c>
      <c r="I25" s="6" t="n">
        <v>-80</v>
      </c>
      <c r="J25" s="6" t="n">
        <v>-84</v>
      </c>
      <c r="K25" s="6" t="n">
        <v>-78</v>
      </c>
      <c r="L25" s="6" t="n">
        <v>-82</v>
      </c>
      <c r="M25" s="6" t="n">
        <v>-80</v>
      </c>
      <c r="N25" s="7" t="n">
        <f aca="false">AVERAGE(D25:M25)</f>
        <v>-80.4</v>
      </c>
      <c r="O25" s="7" t="n">
        <f aca="false">STDEV(D25:M25)</f>
        <v>2.17050941281329</v>
      </c>
      <c r="P25" s="7" t="n">
        <f aca="false">MIN(D25:M25)</f>
        <v>-84</v>
      </c>
      <c r="Q25" s="7" t="n">
        <f aca="false">MAX(D25:M25)</f>
        <v>-77</v>
      </c>
    </row>
    <row r="26" customFormat="false" ht="15" hidden="false" customHeight="false" outlineLevel="0" collapsed="false">
      <c r="A26" s="6" t="s">
        <v>34</v>
      </c>
      <c r="B26" s="6" t="s">
        <v>40</v>
      </c>
      <c r="C26" s="6" t="n">
        <v>9</v>
      </c>
      <c r="D26" s="6" t="n">
        <v>-82</v>
      </c>
      <c r="E26" s="6" t="n">
        <v>-79</v>
      </c>
      <c r="F26" s="6" t="n">
        <v>-85</v>
      </c>
      <c r="G26" s="6" t="n">
        <v>-81</v>
      </c>
      <c r="H26" s="6" t="n">
        <v>-83</v>
      </c>
      <c r="I26" s="6" t="n">
        <v>-82</v>
      </c>
      <c r="J26" s="6" t="n">
        <v>-86</v>
      </c>
      <c r="K26" s="6" t="n">
        <v>-80</v>
      </c>
      <c r="L26" s="6" t="n">
        <v>-84</v>
      </c>
      <c r="M26" s="6" t="n">
        <v>-82</v>
      </c>
      <c r="N26" s="7" t="n">
        <f aca="false">AVERAGE(D26:M26)</f>
        <v>-82.4</v>
      </c>
      <c r="O26" s="7" t="n">
        <f aca="false">STDEV(D26:M26)</f>
        <v>2.17050941281329</v>
      </c>
      <c r="P26" s="7" t="n">
        <f aca="false">MIN(D26:M26)</f>
        <v>-86</v>
      </c>
      <c r="Q26" s="7" t="n">
        <f aca="false">MAX(D26:M26)</f>
        <v>-79</v>
      </c>
    </row>
    <row r="27" customFormat="false" ht="15" hidden="false" customHeight="false" outlineLevel="0" collapsed="false">
      <c r="A27" s="6" t="s">
        <v>34</v>
      </c>
      <c r="B27" s="6" t="s">
        <v>40</v>
      </c>
      <c r="C27" s="6" t="n">
        <v>10</v>
      </c>
      <c r="D27" s="6" t="n">
        <v>-83</v>
      </c>
      <c r="E27" s="6" t="n">
        <v>-80</v>
      </c>
      <c r="F27" s="6" t="n">
        <v>-87</v>
      </c>
      <c r="G27" s="6" t="n">
        <v>-82</v>
      </c>
      <c r="H27" s="6" t="n">
        <v>-84</v>
      </c>
      <c r="I27" s="6" t="n">
        <v>-83</v>
      </c>
      <c r="J27" s="6" t="n">
        <v>-87</v>
      </c>
      <c r="K27" s="6" t="n">
        <v>-81</v>
      </c>
      <c r="L27" s="6" t="n">
        <v>-85</v>
      </c>
      <c r="M27" s="6" t="n">
        <v>-83</v>
      </c>
      <c r="N27" s="7" t="n">
        <f aca="false">AVERAGE(D27:M27)</f>
        <v>-83.5</v>
      </c>
      <c r="O27" s="7" t="n">
        <f aca="false">STDEV(D27:M27)</f>
        <v>2.32139804619735</v>
      </c>
      <c r="P27" s="7" t="n">
        <f aca="false">MIN(D27:M27)</f>
        <v>-87</v>
      </c>
      <c r="Q27" s="7" t="n">
        <f aca="false">MAX(D27:M27)</f>
        <v>-80</v>
      </c>
    </row>
    <row r="28" customFormat="false" ht="15" hidden="false" customHeight="false" outlineLevel="0" collapsed="false">
      <c r="A28" s="6" t="s">
        <v>34</v>
      </c>
      <c r="B28" s="6" t="s">
        <v>40</v>
      </c>
      <c r="C28" s="6" t="n">
        <v>11</v>
      </c>
      <c r="D28" s="6" t="n">
        <v>-85</v>
      </c>
      <c r="E28" s="6" t="n">
        <v>-82</v>
      </c>
      <c r="F28" s="6" t="n">
        <v>-89</v>
      </c>
      <c r="G28" s="6" t="n">
        <v>-84</v>
      </c>
      <c r="H28" s="6" t="n">
        <v>-87</v>
      </c>
      <c r="I28" s="6" t="n">
        <v>-85</v>
      </c>
      <c r="J28" s="6" t="n">
        <v>-90</v>
      </c>
      <c r="K28" s="6" t="n">
        <v>-83</v>
      </c>
      <c r="L28" s="6" t="n">
        <v>-86</v>
      </c>
      <c r="M28" s="6" t="n">
        <v>-85</v>
      </c>
      <c r="N28" s="7" t="n">
        <f aca="false">AVERAGE(D28:M28)</f>
        <v>-85.6</v>
      </c>
      <c r="O28" s="7" t="n">
        <f aca="false">STDEV(D28:M28)</f>
        <v>2.50333111406915</v>
      </c>
      <c r="P28" s="7" t="n">
        <f aca="false">MIN(D28:M28)</f>
        <v>-90</v>
      </c>
      <c r="Q28" s="7" t="n">
        <f aca="false">MAX(D28:M28)</f>
        <v>-82</v>
      </c>
    </row>
    <row r="29" customFormat="false" ht="15" hidden="false" customHeight="false" outlineLevel="0" collapsed="false">
      <c r="A29" s="6" t="s">
        <v>34</v>
      </c>
      <c r="B29" s="6" t="s">
        <v>40</v>
      </c>
      <c r="C29" s="6" t="n">
        <v>12</v>
      </c>
      <c r="D29" s="6" t="n">
        <v>-87</v>
      </c>
      <c r="E29" s="6" t="n">
        <v>-84</v>
      </c>
      <c r="F29" s="6" t="n">
        <v>-91</v>
      </c>
      <c r="G29" s="6" t="n">
        <v>-86</v>
      </c>
      <c r="H29" s="6" t="n">
        <v>-88</v>
      </c>
      <c r="I29" s="6" t="n">
        <v>-87</v>
      </c>
      <c r="J29" s="6" t="n">
        <v>-92</v>
      </c>
      <c r="K29" s="6" t="n">
        <v>-85</v>
      </c>
      <c r="L29" s="6" t="n">
        <v>-89</v>
      </c>
      <c r="M29" s="6" t="n">
        <v>-87</v>
      </c>
      <c r="N29" s="7" t="n">
        <f aca="false">AVERAGE(D29:M29)</f>
        <v>-87.6</v>
      </c>
      <c r="O29" s="7" t="n">
        <f aca="false">STDEV(D29:M29)</f>
        <v>2.50333111406915</v>
      </c>
      <c r="P29" s="7" t="n">
        <f aca="false">MIN(D29:M29)</f>
        <v>-92</v>
      </c>
      <c r="Q29" s="7" t="n">
        <f aca="false">MAX(D29:M29)</f>
        <v>-84</v>
      </c>
    </row>
    <row r="30" customFormat="false" ht="15" hidden="false" customHeight="false" outlineLevel="0" collapsed="false">
      <c r="A30" s="6" t="s">
        <v>34</v>
      </c>
      <c r="B30" s="6" t="s">
        <v>40</v>
      </c>
      <c r="C30" s="6" t="n">
        <v>13</v>
      </c>
      <c r="D30" s="6" t="n">
        <v>-88</v>
      </c>
      <c r="E30" s="6" t="n">
        <v>-85</v>
      </c>
      <c r="F30" s="6" t="n">
        <v>-92</v>
      </c>
      <c r="G30" s="6" t="n">
        <v>-87</v>
      </c>
      <c r="H30" s="6" t="n">
        <v>-90</v>
      </c>
      <c r="I30" s="6" t="n">
        <v>-88</v>
      </c>
      <c r="J30" s="6" t="n">
        <v>-93</v>
      </c>
      <c r="K30" s="6" t="n">
        <v>-86</v>
      </c>
      <c r="L30" s="6" t="n">
        <v>-89</v>
      </c>
      <c r="M30" s="6" t="n">
        <v>-88</v>
      </c>
      <c r="N30" s="7" t="n">
        <f aca="false">AVERAGE(D30:M30)</f>
        <v>-88.6</v>
      </c>
      <c r="O30" s="7" t="n">
        <f aca="false">STDEV(D30:M30)</f>
        <v>2.50333111406915</v>
      </c>
      <c r="P30" s="7" t="n">
        <f aca="false">MIN(D30:M30)</f>
        <v>-93</v>
      </c>
      <c r="Q30" s="7" t="n">
        <f aca="false">MAX(D30:M30)</f>
        <v>-85</v>
      </c>
    </row>
    <row r="31" customFormat="false" ht="15" hidden="false" customHeight="false" outlineLevel="0" collapsed="false">
      <c r="A31" s="6" t="s">
        <v>34</v>
      </c>
      <c r="B31" s="6" t="s">
        <v>40</v>
      </c>
      <c r="C31" s="6" t="n">
        <v>14</v>
      </c>
      <c r="D31" s="6" t="n">
        <v>-89</v>
      </c>
      <c r="E31" s="6" t="n">
        <v>-86</v>
      </c>
      <c r="F31" s="6" t="n">
        <v>-93</v>
      </c>
      <c r="G31" s="6" t="n">
        <v>-88</v>
      </c>
      <c r="H31" s="6" t="n">
        <v>-91</v>
      </c>
      <c r="I31" s="6" t="n">
        <v>-89</v>
      </c>
      <c r="J31" s="6" t="n">
        <v>-94</v>
      </c>
      <c r="K31" s="6" t="n">
        <v>-87</v>
      </c>
      <c r="L31" s="6" t="n">
        <v>-90</v>
      </c>
      <c r="M31" s="6" t="n">
        <v>-89</v>
      </c>
      <c r="N31" s="7" t="n">
        <f aca="false">AVERAGE(D31:M31)</f>
        <v>-89.6</v>
      </c>
      <c r="O31" s="7" t="n">
        <f aca="false">STDEV(D31:M31)</f>
        <v>2.50333111406915</v>
      </c>
      <c r="P31" s="7" t="n">
        <f aca="false">MIN(D31:M31)</f>
        <v>-94</v>
      </c>
      <c r="Q31" s="7" t="n">
        <f aca="false">MAX(D31:M31)</f>
        <v>-86</v>
      </c>
    </row>
    <row r="32" customFormat="false" ht="15" hidden="false" customHeight="false" outlineLevel="0" collapsed="false">
      <c r="A32" s="6" t="s">
        <v>34</v>
      </c>
      <c r="B32" s="6" t="s">
        <v>40</v>
      </c>
      <c r="C32" s="6" t="n">
        <v>15</v>
      </c>
      <c r="D32" s="6" t="n">
        <v>-91</v>
      </c>
      <c r="E32" s="6" t="n">
        <v>-88</v>
      </c>
      <c r="F32" s="6" t="n">
        <v>-96</v>
      </c>
      <c r="G32" s="6" t="n">
        <v>-90</v>
      </c>
      <c r="H32" s="6" t="n">
        <v>-93</v>
      </c>
      <c r="I32" s="6" t="n">
        <v>-91</v>
      </c>
      <c r="J32" s="6" t="n">
        <v>-96</v>
      </c>
      <c r="K32" s="6" t="n">
        <v>-89</v>
      </c>
      <c r="L32" s="6" t="n">
        <v>-92</v>
      </c>
      <c r="M32" s="6" t="n">
        <v>-91</v>
      </c>
      <c r="N32" s="7" t="n">
        <f aca="false">AVERAGE(D32:M32)</f>
        <v>-91.7</v>
      </c>
      <c r="O32" s="7" t="n">
        <f aca="false">STDEV(D32:M32)</f>
        <v>2.66874918683308</v>
      </c>
      <c r="P32" s="7" t="n">
        <f aca="false">MIN(D32:M32)</f>
        <v>-96</v>
      </c>
      <c r="Q32" s="7" t="n">
        <f aca="false">MAX(D32:M32)</f>
        <v>-88</v>
      </c>
    </row>
    <row r="34" customFormat="false" ht="15" hidden="false" customHeight="false" outlineLevel="0" collapsed="false">
      <c r="A34" s="6" t="s">
        <v>35</v>
      </c>
      <c r="B34" s="6" t="s">
        <v>39</v>
      </c>
      <c r="C34" s="6" t="n">
        <v>1</v>
      </c>
      <c r="D34" s="6" t="n">
        <v>-35</v>
      </c>
      <c r="E34" s="6" t="n">
        <v>-34</v>
      </c>
      <c r="F34" s="6" t="n">
        <v>-36</v>
      </c>
      <c r="G34" s="6" t="n">
        <v>-35</v>
      </c>
      <c r="H34" s="6" t="n">
        <v>-38</v>
      </c>
      <c r="I34" s="6" t="n">
        <v>-35</v>
      </c>
      <c r="J34" s="6" t="n">
        <v>-34</v>
      </c>
      <c r="K34" s="6" t="n">
        <v>-37</v>
      </c>
      <c r="L34" s="6" t="n">
        <v>-35</v>
      </c>
      <c r="M34" s="6" t="n">
        <v>-35</v>
      </c>
      <c r="N34" s="7" t="n">
        <f aca="false">AVERAGE(D34:M34)</f>
        <v>-35.4</v>
      </c>
      <c r="O34" s="7" t="n">
        <f aca="false">STDEV(D34:M34)</f>
        <v>1.26491106406735</v>
      </c>
      <c r="P34" s="7" t="n">
        <f aca="false">MIN(D34:M34)</f>
        <v>-38</v>
      </c>
      <c r="Q34" s="7" t="n">
        <f aca="false">MAX(D34:M34)</f>
        <v>-34</v>
      </c>
    </row>
    <row r="35" customFormat="false" ht="15" hidden="false" customHeight="false" outlineLevel="0" collapsed="false">
      <c r="A35" s="6" t="s">
        <v>35</v>
      </c>
      <c r="B35" s="6" t="s">
        <v>39</v>
      </c>
      <c r="C35" s="6" t="n">
        <v>2</v>
      </c>
      <c r="D35" s="6" t="n">
        <v>-39</v>
      </c>
      <c r="E35" s="6" t="n">
        <v>-38</v>
      </c>
      <c r="F35" s="6" t="n">
        <v>-41</v>
      </c>
      <c r="G35" s="6" t="n">
        <v>-39</v>
      </c>
      <c r="H35" s="6" t="n">
        <v>-40</v>
      </c>
      <c r="I35" s="6" t="n">
        <v>-37</v>
      </c>
      <c r="J35" s="6" t="n">
        <v>-39</v>
      </c>
      <c r="K35" s="6" t="n">
        <v>-42</v>
      </c>
      <c r="L35" s="6" t="n">
        <v>-38</v>
      </c>
      <c r="M35" s="6" t="n">
        <v>-39</v>
      </c>
      <c r="N35" s="7" t="n">
        <f aca="false">AVERAGE(D35:M35)</f>
        <v>-39.2</v>
      </c>
      <c r="O35" s="7" t="n">
        <f aca="false">STDEV(D35:M35)</f>
        <v>1.47572957474524</v>
      </c>
      <c r="P35" s="7" t="n">
        <f aca="false">MIN(D35:M35)</f>
        <v>-42</v>
      </c>
      <c r="Q35" s="7" t="n">
        <f aca="false">MAX(D35:M35)</f>
        <v>-37</v>
      </c>
    </row>
    <row r="36" customFormat="false" ht="15" hidden="false" customHeight="false" outlineLevel="0" collapsed="false">
      <c r="A36" s="6" t="s">
        <v>35</v>
      </c>
      <c r="B36" s="6" t="s">
        <v>39</v>
      </c>
      <c r="C36" s="6" t="n">
        <v>3</v>
      </c>
      <c r="D36" s="6" t="n">
        <v>-45</v>
      </c>
      <c r="E36" s="6" t="n">
        <v>-43</v>
      </c>
      <c r="F36" s="6" t="n">
        <v>-46</v>
      </c>
      <c r="G36" s="6" t="n">
        <v>-48</v>
      </c>
      <c r="H36" s="6" t="n">
        <v>-44</v>
      </c>
      <c r="I36" s="6" t="n">
        <v>-45</v>
      </c>
      <c r="J36" s="6" t="n">
        <v>-47</v>
      </c>
      <c r="K36" s="6" t="n">
        <v>-45</v>
      </c>
      <c r="L36" s="6" t="n">
        <v>-42</v>
      </c>
      <c r="M36" s="6" t="n">
        <v>-45</v>
      </c>
      <c r="N36" s="7" t="n">
        <f aca="false">AVERAGE(D36:M36)</f>
        <v>-45</v>
      </c>
      <c r="O36" s="7" t="n">
        <f aca="false">STDEV(D36:M36)</f>
        <v>1.76383420737639</v>
      </c>
      <c r="P36" s="7" t="n">
        <f aca="false">MIN(D36:M36)</f>
        <v>-48</v>
      </c>
      <c r="Q36" s="7" t="n">
        <f aca="false">MAX(D36:M36)</f>
        <v>-42</v>
      </c>
    </row>
    <row r="37" customFormat="false" ht="15" hidden="false" customHeight="false" outlineLevel="0" collapsed="false">
      <c r="A37" s="6" t="s">
        <v>35</v>
      </c>
      <c r="B37" s="6" t="s">
        <v>39</v>
      </c>
      <c r="C37" s="6" t="n">
        <v>4</v>
      </c>
      <c r="D37" s="6" t="n">
        <v>-49</v>
      </c>
      <c r="E37" s="6" t="n">
        <v>-48</v>
      </c>
      <c r="F37" s="6" t="n">
        <v>-51</v>
      </c>
      <c r="G37" s="6" t="n">
        <v>-47</v>
      </c>
      <c r="H37" s="6" t="n">
        <v>-50</v>
      </c>
      <c r="I37" s="6" t="n">
        <v>-49</v>
      </c>
      <c r="J37" s="6" t="n">
        <v>-53</v>
      </c>
      <c r="K37" s="6" t="n">
        <v>-48</v>
      </c>
      <c r="L37" s="6" t="n">
        <v>-49</v>
      </c>
      <c r="M37" s="6" t="n">
        <v>-50</v>
      </c>
      <c r="N37" s="7" t="n">
        <f aca="false">AVERAGE(D37:M37)</f>
        <v>-49.4</v>
      </c>
      <c r="O37" s="7" t="n">
        <f aca="false">STDEV(D37:M37)</f>
        <v>1.71269767715535</v>
      </c>
      <c r="P37" s="7" t="n">
        <f aca="false">MIN(D37:M37)</f>
        <v>-53</v>
      </c>
      <c r="Q37" s="7" t="n">
        <f aca="false">MAX(D37:M37)</f>
        <v>-47</v>
      </c>
    </row>
    <row r="38" customFormat="false" ht="15" hidden="false" customHeight="false" outlineLevel="0" collapsed="false">
      <c r="A38" s="6" t="s">
        <v>35</v>
      </c>
      <c r="B38" s="6" t="s">
        <v>39</v>
      </c>
      <c r="C38" s="6" t="n">
        <v>5</v>
      </c>
      <c r="D38" s="6" t="n">
        <v>-52</v>
      </c>
      <c r="E38" s="6" t="n">
        <v>-51</v>
      </c>
      <c r="F38" s="6" t="n">
        <v>-55</v>
      </c>
      <c r="G38" s="6" t="n">
        <v>-52</v>
      </c>
      <c r="H38" s="6" t="n">
        <v>-53</v>
      </c>
      <c r="I38" s="6" t="n">
        <v>-50</v>
      </c>
      <c r="J38" s="6" t="n">
        <v>-52</v>
      </c>
      <c r="K38" s="6" t="n">
        <v>-51</v>
      </c>
      <c r="L38" s="6" t="n">
        <v>-56</v>
      </c>
      <c r="M38" s="6" t="n">
        <v>-52</v>
      </c>
      <c r="N38" s="7" t="n">
        <f aca="false">AVERAGE(D38:M38)</f>
        <v>-52.4</v>
      </c>
      <c r="O38" s="7" t="n">
        <f aca="false">STDEV(D38:M38)</f>
        <v>1.83787316694536</v>
      </c>
      <c r="P38" s="7" t="n">
        <f aca="false">MIN(D38:M38)</f>
        <v>-56</v>
      </c>
      <c r="Q38" s="7" t="n">
        <f aca="false">MAX(D38:M38)</f>
        <v>-50</v>
      </c>
    </row>
    <row r="39" customFormat="false" ht="15" hidden="false" customHeight="false" outlineLevel="0" collapsed="false">
      <c r="A39" s="6" t="s">
        <v>35</v>
      </c>
      <c r="B39" s="6" t="s">
        <v>39</v>
      </c>
      <c r="C39" s="6" t="n">
        <v>6</v>
      </c>
      <c r="D39" s="6" t="n">
        <v>-49</v>
      </c>
      <c r="E39" s="6" t="n">
        <v>-48</v>
      </c>
      <c r="F39" s="6" t="n">
        <v>-51</v>
      </c>
      <c r="G39" s="6" t="n">
        <v>-49</v>
      </c>
      <c r="H39" s="6" t="n">
        <v>-53</v>
      </c>
      <c r="I39" s="6" t="n">
        <v>-47</v>
      </c>
      <c r="J39" s="6" t="n">
        <v>-50</v>
      </c>
      <c r="K39" s="6" t="n">
        <v>-48</v>
      </c>
      <c r="L39" s="6" t="n">
        <v>-49</v>
      </c>
      <c r="M39" s="6" t="n">
        <v>-52</v>
      </c>
      <c r="N39" s="7" t="n">
        <f aca="false">AVERAGE(D39:M39)</f>
        <v>-49.6</v>
      </c>
      <c r="O39" s="7" t="n">
        <f aca="false">STDEV(D39:M39)</f>
        <v>1.89736659610103</v>
      </c>
      <c r="P39" s="7" t="n">
        <f aca="false">MIN(D39:M39)</f>
        <v>-53</v>
      </c>
      <c r="Q39" s="7" t="n">
        <f aca="false">MAX(D39:M39)</f>
        <v>-47</v>
      </c>
    </row>
    <row r="40" customFormat="false" ht="15" hidden="false" customHeight="false" outlineLevel="0" collapsed="false">
      <c r="A40" s="6" t="s">
        <v>35</v>
      </c>
      <c r="B40" s="6" t="s">
        <v>39</v>
      </c>
      <c r="C40" s="6" t="n">
        <v>7</v>
      </c>
      <c r="D40" s="6" t="n">
        <v>-53</v>
      </c>
      <c r="E40" s="6" t="n">
        <v>-51</v>
      </c>
      <c r="F40" s="6" t="n">
        <v>-55</v>
      </c>
      <c r="G40" s="6" t="n">
        <v>-54</v>
      </c>
      <c r="H40" s="6" t="n">
        <v>-52</v>
      </c>
      <c r="I40" s="6" t="n">
        <v>-53</v>
      </c>
      <c r="J40" s="6" t="n">
        <v>-56</v>
      </c>
      <c r="K40" s="6" t="n">
        <v>-51</v>
      </c>
      <c r="L40" s="6" t="n">
        <v>-54</v>
      </c>
      <c r="M40" s="6" t="n">
        <v>-53</v>
      </c>
      <c r="N40" s="7" t="n">
        <f aca="false">AVERAGE(D40:M40)</f>
        <v>-53.2</v>
      </c>
      <c r="O40" s="7" t="n">
        <f aca="false">STDEV(D40:M40)</f>
        <v>1.61932770686548</v>
      </c>
      <c r="P40" s="7" t="n">
        <f aca="false">MIN(D40:M40)</f>
        <v>-56</v>
      </c>
      <c r="Q40" s="7" t="n">
        <f aca="false">MAX(D40:M40)</f>
        <v>-51</v>
      </c>
    </row>
    <row r="41" customFormat="false" ht="15" hidden="false" customHeight="false" outlineLevel="0" collapsed="false">
      <c r="A41" s="6" t="s">
        <v>35</v>
      </c>
      <c r="B41" s="6" t="s">
        <v>39</v>
      </c>
      <c r="C41" s="6" t="n">
        <v>8</v>
      </c>
      <c r="D41" s="6" t="n">
        <v>-56</v>
      </c>
      <c r="E41" s="6" t="n">
        <v>-54</v>
      </c>
      <c r="F41" s="6" t="n">
        <v>-59</v>
      </c>
      <c r="G41" s="6" t="n">
        <v>-55</v>
      </c>
      <c r="H41" s="6" t="n">
        <v>-57</v>
      </c>
      <c r="I41" s="6" t="n">
        <v>-56</v>
      </c>
      <c r="J41" s="6" t="n">
        <v>-58</v>
      </c>
      <c r="K41" s="6" t="n">
        <v>-53</v>
      </c>
      <c r="L41" s="6" t="n">
        <v>-57</v>
      </c>
      <c r="M41" s="6" t="n">
        <v>-56</v>
      </c>
      <c r="N41" s="7" t="n">
        <f aca="false">AVERAGE(D41:M41)</f>
        <v>-56.1</v>
      </c>
      <c r="O41" s="7" t="n">
        <f aca="false">STDEV(D41:M41)</f>
        <v>1.79195734076208</v>
      </c>
      <c r="P41" s="7" t="n">
        <f aca="false">MIN(D41:M41)</f>
        <v>-59</v>
      </c>
      <c r="Q41" s="7" t="n">
        <f aca="false">MAX(D41:M41)</f>
        <v>-53</v>
      </c>
    </row>
    <row r="42" customFormat="false" ht="15" hidden="false" customHeight="false" outlineLevel="0" collapsed="false">
      <c r="A42" s="6" t="s">
        <v>35</v>
      </c>
      <c r="B42" s="6" t="s">
        <v>39</v>
      </c>
      <c r="C42" s="6" t="n">
        <v>9</v>
      </c>
      <c r="D42" s="6" t="n">
        <v>-58</v>
      </c>
      <c r="E42" s="6" t="n">
        <v>-56</v>
      </c>
      <c r="F42" s="6" t="n">
        <v>-61</v>
      </c>
      <c r="G42" s="6" t="n">
        <v>-57</v>
      </c>
      <c r="H42" s="6" t="n">
        <v>-59</v>
      </c>
      <c r="I42" s="6" t="n">
        <v>-58</v>
      </c>
      <c r="J42" s="6" t="n">
        <v>-62</v>
      </c>
      <c r="K42" s="6" t="n">
        <v>-55</v>
      </c>
      <c r="L42" s="6" t="n">
        <v>-60</v>
      </c>
      <c r="M42" s="6" t="n">
        <v>-58</v>
      </c>
      <c r="N42" s="7" t="n">
        <f aca="false">AVERAGE(D42:M42)</f>
        <v>-58.4</v>
      </c>
      <c r="O42" s="7" t="n">
        <f aca="false">STDEV(D42:M42)</f>
        <v>2.17050941281329</v>
      </c>
      <c r="P42" s="7" t="n">
        <f aca="false">MIN(D42:M42)</f>
        <v>-62</v>
      </c>
      <c r="Q42" s="7" t="n">
        <f aca="false">MAX(D42:M42)</f>
        <v>-55</v>
      </c>
    </row>
    <row r="43" customFormat="false" ht="15" hidden="false" customHeight="false" outlineLevel="0" collapsed="false">
      <c r="A43" s="6" t="s">
        <v>35</v>
      </c>
      <c r="B43" s="6" t="s">
        <v>39</v>
      </c>
      <c r="C43" s="6" t="n">
        <v>10</v>
      </c>
      <c r="D43" s="6" t="n">
        <v>-60</v>
      </c>
      <c r="E43" s="6" t="n">
        <v>-58</v>
      </c>
      <c r="F43" s="6" t="n">
        <v>-63</v>
      </c>
      <c r="G43" s="6" t="n">
        <v>-59</v>
      </c>
      <c r="H43" s="6" t="n">
        <v>-61</v>
      </c>
      <c r="I43" s="6" t="n">
        <v>-60</v>
      </c>
      <c r="J43" s="6" t="n">
        <v>-64</v>
      </c>
      <c r="K43" s="6" t="n">
        <v>-57</v>
      </c>
      <c r="L43" s="6" t="n">
        <v>-61</v>
      </c>
      <c r="M43" s="6" t="n">
        <v>-60</v>
      </c>
      <c r="N43" s="7" t="n">
        <f aca="false">AVERAGE(D43:M43)</f>
        <v>-60.3</v>
      </c>
      <c r="O43" s="7" t="n">
        <f aca="false">STDEV(D43:M43)</f>
        <v>2.11081869319834</v>
      </c>
      <c r="P43" s="7" t="n">
        <f aca="false">MIN(D43:M43)</f>
        <v>-64</v>
      </c>
      <c r="Q43" s="7" t="n">
        <f aca="false">MAX(D43:M43)</f>
        <v>-57</v>
      </c>
    </row>
    <row r="44" customFormat="false" ht="15" hidden="false" customHeight="false" outlineLevel="0" collapsed="false">
      <c r="A44" s="6" t="s">
        <v>35</v>
      </c>
      <c r="B44" s="6" t="s">
        <v>39</v>
      </c>
      <c r="C44" s="6" t="n">
        <v>11</v>
      </c>
      <c r="D44" s="6" t="n">
        <v>-62</v>
      </c>
      <c r="E44" s="6" t="n">
        <v>-59</v>
      </c>
      <c r="F44" s="6" t="n">
        <v>-65</v>
      </c>
      <c r="G44" s="6" t="n">
        <v>-61</v>
      </c>
      <c r="H44" s="6" t="n">
        <v>-63</v>
      </c>
      <c r="I44" s="6" t="n">
        <v>-62</v>
      </c>
      <c r="J44" s="6" t="n">
        <v>-66</v>
      </c>
      <c r="K44" s="6" t="n">
        <v>-60</v>
      </c>
      <c r="L44" s="6" t="n">
        <v>-63</v>
      </c>
      <c r="M44" s="6" t="n">
        <v>-62</v>
      </c>
      <c r="N44" s="7" t="n">
        <f aca="false">AVERAGE(D44:M44)</f>
        <v>-62.3</v>
      </c>
      <c r="O44" s="7" t="n">
        <f aca="false">STDEV(D44:M44)</f>
        <v>2.11081869319834</v>
      </c>
      <c r="P44" s="7" t="n">
        <f aca="false">MIN(D44:M44)</f>
        <v>-66</v>
      </c>
      <c r="Q44" s="7" t="n">
        <f aca="false">MAX(D44:M44)</f>
        <v>-59</v>
      </c>
    </row>
    <row r="45" customFormat="false" ht="15" hidden="false" customHeight="false" outlineLevel="0" collapsed="false">
      <c r="A45" s="6" t="s">
        <v>35</v>
      </c>
      <c r="B45" s="6" t="s">
        <v>39</v>
      </c>
      <c r="C45" s="6" t="n">
        <v>12</v>
      </c>
      <c r="D45" s="6" t="n">
        <v>-65</v>
      </c>
      <c r="E45" s="6" t="n">
        <v>-62</v>
      </c>
      <c r="F45" s="6" t="n">
        <v>-68</v>
      </c>
      <c r="G45" s="6" t="n">
        <v>-64</v>
      </c>
      <c r="H45" s="6" t="n">
        <v>-66</v>
      </c>
      <c r="I45" s="6" t="n">
        <v>-65</v>
      </c>
      <c r="J45" s="6" t="n">
        <v>-69</v>
      </c>
      <c r="K45" s="6" t="n">
        <v>-63</v>
      </c>
      <c r="L45" s="6" t="n">
        <v>-67</v>
      </c>
      <c r="M45" s="6" t="n">
        <v>-65</v>
      </c>
      <c r="N45" s="7" t="n">
        <f aca="false">AVERAGE(D45:M45)</f>
        <v>-65.4</v>
      </c>
      <c r="O45" s="7" t="n">
        <f aca="false">STDEV(D45:M45)</f>
        <v>2.17050941281329</v>
      </c>
      <c r="P45" s="7" t="n">
        <f aca="false">MIN(D45:M45)</f>
        <v>-69</v>
      </c>
      <c r="Q45" s="7" t="n">
        <f aca="false">MAX(D45:M45)</f>
        <v>-62</v>
      </c>
    </row>
    <row r="46" customFormat="false" ht="15" hidden="false" customHeight="false" outlineLevel="0" collapsed="false">
      <c r="A46" s="6" t="s">
        <v>35</v>
      </c>
      <c r="B46" s="6" t="s">
        <v>39</v>
      </c>
      <c r="C46" s="6" t="n">
        <v>13</v>
      </c>
      <c r="D46" s="6" t="n">
        <v>-67</v>
      </c>
      <c r="E46" s="6" t="n">
        <v>-64</v>
      </c>
      <c r="F46" s="6" t="n">
        <v>-70</v>
      </c>
      <c r="G46" s="6" t="n">
        <v>-66</v>
      </c>
      <c r="H46" s="6" t="n">
        <v>-68</v>
      </c>
      <c r="I46" s="6" t="n">
        <v>-67</v>
      </c>
      <c r="J46" s="6" t="n">
        <v>-71</v>
      </c>
      <c r="K46" s="6" t="n">
        <v>-65</v>
      </c>
      <c r="L46" s="6" t="n">
        <v>-69</v>
      </c>
      <c r="M46" s="6" t="n">
        <v>-67</v>
      </c>
      <c r="N46" s="7" t="n">
        <f aca="false">AVERAGE(D46:M46)</f>
        <v>-67.4</v>
      </c>
      <c r="O46" s="7" t="n">
        <f aca="false">STDEV(D46:M46)</f>
        <v>2.17050941281329</v>
      </c>
      <c r="P46" s="7" t="n">
        <f aca="false">MIN(D46:M46)</f>
        <v>-71</v>
      </c>
      <c r="Q46" s="7" t="n">
        <f aca="false">MAX(D46:M46)</f>
        <v>-64</v>
      </c>
    </row>
    <row r="47" customFormat="false" ht="15" hidden="false" customHeight="false" outlineLevel="0" collapsed="false">
      <c r="A47" s="6" t="s">
        <v>35</v>
      </c>
      <c r="B47" s="6" t="s">
        <v>39</v>
      </c>
      <c r="C47" s="6" t="n">
        <v>14</v>
      </c>
      <c r="D47" s="6" t="n">
        <v>-68</v>
      </c>
      <c r="E47" s="6" t="n">
        <v>-65</v>
      </c>
      <c r="F47" s="6" t="n">
        <v>-71</v>
      </c>
      <c r="G47" s="6" t="n">
        <v>-67</v>
      </c>
      <c r="H47" s="6" t="n">
        <v>-69</v>
      </c>
      <c r="I47" s="6" t="n">
        <v>-68</v>
      </c>
      <c r="J47" s="6" t="n">
        <v>-72</v>
      </c>
      <c r="K47" s="6" t="n">
        <v>-66</v>
      </c>
      <c r="L47" s="6" t="n">
        <v>-70</v>
      </c>
      <c r="M47" s="6" t="n">
        <v>-68</v>
      </c>
      <c r="N47" s="7" t="n">
        <f aca="false">AVERAGE(D47:M47)</f>
        <v>-68.4</v>
      </c>
      <c r="O47" s="7" t="n">
        <f aca="false">STDEV(D47:M47)</f>
        <v>2.17050941281329</v>
      </c>
      <c r="P47" s="7" t="n">
        <f aca="false">MIN(D47:M47)</f>
        <v>-72</v>
      </c>
      <c r="Q47" s="7" t="n">
        <f aca="false">MAX(D47:M47)</f>
        <v>-65</v>
      </c>
    </row>
    <row r="48" customFormat="false" ht="15" hidden="false" customHeight="false" outlineLevel="0" collapsed="false">
      <c r="A48" s="6" t="s">
        <v>35</v>
      </c>
      <c r="B48" s="6" t="s">
        <v>39</v>
      </c>
      <c r="C48" s="6" t="n">
        <v>15</v>
      </c>
      <c r="D48" s="6" t="n">
        <v>-70</v>
      </c>
      <c r="E48" s="6" t="n">
        <v>-67</v>
      </c>
      <c r="F48" s="6" t="n">
        <v>-74</v>
      </c>
      <c r="G48" s="6" t="n">
        <v>-69</v>
      </c>
      <c r="H48" s="6" t="n">
        <v>-72</v>
      </c>
      <c r="I48" s="6" t="n">
        <v>-70</v>
      </c>
      <c r="J48" s="6" t="n">
        <v>-75</v>
      </c>
      <c r="K48" s="6" t="n">
        <v>-68</v>
      </c>
      <c r="L48" s="6" t="n">
        <v>-71</v>
      </c>
      <c r="M48" s="6" t="n">
        <v>-70</v>
      </c>
      <c r="N48" s="7" t="n">
        <f aca="false">AVERAGE(D48:M48)</f>
        <v>-70.6</v>
      </c>
      <c r="O48" s="7" t="n">
        <f aca="false">STDEV(D48:M48)</f>
        <v>2.50333111406915</v>
      </c>
      <c r="P48" s="7" t="n">
        <f aca="false">MIN(D48:M48)</f>
        <v>-75</v>
      </c>
      <c r="Q48" s="7" t="n">
        <f aca="false">MAX(D48:M48)</f>
        <v>-67</v>
      </c>
    </row>
    <row r="50" customFormat="false" ht="15" hidden="false" customHeight="false" outlineLevel="0" collapsed="false">
      <c r="A50" s="6" t="s">
        <v>35</v>
      </c>
      <c r="B50" s="6" t="s">
        <v>40</v>
      </c>
      <c r="C50" s="6" t="n">
        <v>1</v>
      </c>
      <c r="D50" s="6" t="n">
        <v>-75</v>
      </c>
      <c r="E50" s="6" t="n">
        <v>-73</v>
      </c>
      <c r="F50" s="6" t="n">
        <v>-77</v>
      </c>
      <c r="G50" s="6" t="n">
        <v>-76</v>
      </c>
      <c r="H50" s="6" t="n">
        <v>-74</v>
      </c>
      <c r="I50" s="6" t="n">
        <v>-75</v>
      </c>
      <c r="J50" s="6" t="n">
        <v>-78</v>
      </c>
      <c r="K50" s="6" t="n">
        <v>-74</v>
      </c>
      <c r="L50" s="6" t="n">
        <v>-76</v>
      </c>
      <c r="M50" s="6" t="n">
        <v>-75</v>
      </c>
      <c r="N50" s="7" t="n">
        <f aca="false">AVERAGE(D50:M50)</f>
        <v>-75.3</v>
      </c>
      <c r="O50" s="7" t="n">
        <f aca="false">STDEV(D50:M50)</f>
        <v>1.49443411809733</v>
      </c>
      <c r="P50" s="7" t="n">
        <f aca="false">MIN(D50:M50)</f>
        <v>-78</v>
      </c>
      <c r="Q50" s="7" t="n">
        <f aca="false">MAX(D50:M50)</f>
        <v>-73</v>
      </c>
    </row>
    <row r="51" customFormat="false" ht="15" hidden="false" customHeight="false" outlineLevel="0" collapsed="false">
      <c r="A51" s="6" t="s">
        <v>35</v>
      </c>
      <c r="B51" s="6" t="s">
        <v>40</v>
      </c>
      <c r="C51" s="6" t="n">
        <v>2</v>
      </c>
      <c r="D51" s="6" t="n">
        <v>-78</v>
      </c>
      <c r="E51" s="6" t="n">
        <v>-76</v>
      </c>
      <c r="F51" s="6" t="n">
        <v>-80</v>
      </c>
      <c r="G51" s="6" t="n">
        <v>-79</v>
      </c>
      <c r="H51" s="6" t="n">
        <v>-77</v>
      </c>
      <c r="I51" s="6" t="n">
        <v>-78</v>
      </c>
      <c r="J51" s="6" t="n">
        <v>-82</v>
      </c>
      <c r="K51" s="6" t="n">
        <v>-77</v>
      </c>
      <c r="L51" s="6" t="n">
        <v>-79</v>
      </c>
      <c r="M51" s="6" t="n">
        <v>-78</v>
      </c>
      <c r="N51" s="7" t="n">
        <f aca="false">AVERAGE(D51:M51)</f>
        <v>-78.4</v>
      </c>
      <c r="O51" s="7" t="n">
        <f aca="false">STDEV(D51:M51)</f>
        <v>1.71269767715535</v>
      </c>
      <c r="P51" s="7" t="n">
        <f aca="false">MIN(D51:M51)</f>
        <v>-82</v>
      </c>
      <c r="Q51" s="7" t="n">
        <f aca="false">MAX(D51:M51)</f>
        <v>-76</v>
      </c>
    </row>
    <row r="52" customFormat="false" ht="15" hidden="false" customHeight="false" outlineLevel="0" collapsed="false">
      <c r="A52" s="6" t="s">
        <v>35</v>
      </c>
      <c r="B52" s="6" t="s">
        <v>40</v>
      </c>
      <c r="C52" s="6" t="n">
        <v>3</v>
      </c>
      <c r="D52" s="6" t="n">
        <v>-88</v>
      </c>
      <c r="E52" s="6" t="n">
        <v>-85</v>
      </c>
      <c r="F52" s="6" t="n">
        <v>-91</v>
      </c>
      <c r="G52" s="6" t="n">
        <v>-87</v>
      </c>
      <c r="H52" s="6" t="n">
        <v>-89</v>
      </c>
      <c r="I52" s="6" t="n">
        <v>-88</v>
      </c>
      <c r="J52" s="6" t="n">
        <v>-92</v>
      </c>
      <c r="K52" s="6" t="n">
        <v>-86</v>
      </c>
      <c r="L52" s="6" t="n">
        <v>-89</v>
      </c>
      <c r="M52" s="6" t="n">
        <v>-88</v>
      </c>
      <c r="N52" s="7" t="n">
        <f aca="false">AVERAGE(D52:M52)</f>
        <v>-88.3</v>
      </c>
      <c r="O52" s="7" t="n">
        <f aca="false">STDEV(D52:M52)</f>
        <v>2.11081869319834</v>
      </c>
      <c r="P52" s="7" t="n">
        <f aca="false">MIN(D52:M52)</f>
        <v>-92</v>
      </c>
      <c r="Q52" s="7" t="n">
        <f aca="false">MAX(D52:M52)</f>
        <v>-85</v>
      </c>
    </row>
    <row r="53" customFormat="false" ht="15" hidden="false" customHeight="false" outlineLevel="0" collapsed="false">
      <c r="A53" s="6" t="s">
        <v>35</v>
      </c>
      <c r="B53" s="6" t="s">
        <v>40</v>
      </c>
      <c r="C53" s="6" t="n">
        <v>4</v>
      </c>
      <c r="D53" s="6" t="n">
        <v>-84</v>
      </c>
      <c r="E53" s="6" t="n">
        <v>-82</v>
      </c>
      <c r="F53" s="6" t="n">
        <v>-87</v>
      </c>
      <c r="G53" s="6" t="n">
        <v>-83</v>
      </c>
      <c r="H53" s="6" t="n">
        <v>-85</v>
      </c>
      <c r="I53" s="6" t="n">
        <v>-84</v>
      </c>
      <c r="J53" s="6" t="n">
        <v>-86</v>
      </c>
      <c r="K53" s="6" t="n">
        <v>-82</v>
      </c>
      <c r="L53" s="6" t="n">
        <v>-85</v>
      </c>
      <c r="M53" s="6" t="n">
        <v>-84</v>
      </c>
      <c r="N53" s="7" t="n">
        <f aca="false">AVERAGE(D53:M53)</f>
        <v>-84.2</v>
      </c>
      <c r="O53" s="7" t="n">
        <f aca="false">STDEV(D53:M53)</f>
        <v>1.61932770686548</v>
      </c>
      <c r="P53" s="7" t="n">
        <f aca="false">MIN(D53:M53)</f>
        <v>-87</v>
      </c>
      <c r="Q53" s="7" t="n">
        <f aca="false">MAX(D53:M53)</f>
        <v>-82</v>
      </c>
    </row>
    <row r="54" customFormat="false" ht="15" hidden="false" customHeight="false" outlineLevel="0" collapsed="false">
      <c r="A54" s="6" t="s">
        <v>35</v>
      </c>
      <c r="B54" s="6" t="s">
        <v>40</v>
      </c>
      <c r="C54" s="6" t="n">
        <v>5</v>
      </c>
      <c r="D54" s="6" t="n">
        <v>-82</v>
      </c>
      <c r="E54" s="6" t="n">
        <v>-80</v>
      </c>
      <c r="F54" s="6" t="n">
        <v>-85</v>
      </c>
      <c r="G54" s="6" t="n">
        <v>-81</v>
      </c>
      <c r="H54" s="6" t="n">
        <v>-83</v>
      </c>
      <c r="I54" s="6" t="n">
        <v>-82</v>
      </c>
      <c r="J54" s="6" t="n">
        <v>-84</v>
      </c>
      <c r="K54" s="6" t="n">
        <v>-79</v>
      </c>
      <c r="L54" s="6" t="n">
        <v>-83</v>
      </c>
      <c r="M54" s="6" t="n">
        <v>-82</v>
      </c>
      <c r="N54" s="7" t="n">
        <f aca="false">AVERAGE(D54:M54)</f>
        <v>-82.1</v>
      </c>
      <c r="O54" s="7" t="n">
        <f aca="false">STDEV(D54:M54)</f>
        <v>1.79195734076208</v>
      </c>
      <c r="P54" s="7" t="n">
        <f aca="false">MIN(D54:M54)</f>
        <v>-85</v>
      </c>
      <c r="Q54" s="7" t="n">
        <f aca="false">MAX(D54:M54)</f>
        <v>-79</v>
      </c>
    </row>
    <row r="55" customFormat="false" ht="15" hidden="false" customHeight="false" outlineLevel="0" collapsed="false">
      <c r="A55" s="6" t="s">
        <v>35</v>
      </c>
      <c r="B55" s="6" t="s">
        <v>40</v>
      </c>
      <c r="C55" s="6" t="n">
        <v>6</v>
      </c>
      <c r="D55" s="6" t="n">
        <v>-78</v>
      </c>
      <c r="E55" s="6" t="n">
        <v>-76</v>
      </c>
      <c r="F55" s="6" t="n">
        <v>-81</v>
      </c>
      <c r="G55" s="6" t="n">
        <v>-77</v>
      </c>
      <c r="H55" s="6" t="n">
        <v>-79</v>
      </c>
      <c r="I55" s="6" t="n">
        <v>-78</v>
      </c>
      <c r="J55" s="6" t="n">
        <v>-82</v>
      </c>
      <c r="K55" s="6" t="n">
        <v>-75</v>
      </c>
      <c r="L55" s="6" t="n">
        <v>-80</v>
      </c>
      <c r="M55" s="6" t="n">
        <v>-78</v>
      </c>
      <c r="N55" s="7" t="n">
        <f aca="false">AVERAGE(D55:M55)</f>
        <v>-78.4</v>
      </c>
      <c r="O55" s="7" t="n">
        <f aca="false">STDEV(D55:M55)</f>
        <v>2.17050941281329</v>
      </c>
      <c r="P55" s="7" t="n">
        <f aca="false">MIN(D55:M55)</f>
        <v>-82</v>
      </c>
      <c r="Q55" s="7" t="n">
        <f aca="false">MAX(D55:M55)</f>
        <v>-75</v>
      </c>
    </row>
    <row r="56" customFormat="false" ht="15" hidden="false" customHeight="false" outlineLevel="0" collapsed="false">
      <c r="A56" s="6" t="s">
        <v>35</v>
      </c>
      <c r="B56" s="6" t="s">
        <v>40</v>
      </c>
      <c r="C56" s="6" t="n">
        <v>7</v>
      </c>
      <c r="D56" s="6" t="n">
        <v>-75</v>
      </c>
      <c r="E56" s="6" t="n">
        <v>-73</v>
      </c>
      <c r="F56" s="6" t="n">
        <v>-77</v>
      </c>
      <c r="G56" s="6" t="n">
        <v>-74</v>
      </c>
      <c r="H56" s="6" t="n">
        <v>-76</v>
      </c>
      <c r="I56" s="6" t="n">
        <v>-75</v>
      </c>
      <c r="J56" s="6" t="n">
        <v>-79</v>
      </c>
      <c r="K56" s="6" t="n">
        <v>-72</v>
      </c>
      <c r="L56" s="6" t="n">
        <v>-76</v>
      </c>
      <c r="M56" s="6" t="n">
        <v>-75</v>
      </c>
      <c r="N56" s="7" t="n">
        <f aca="false">AVERAGE(D56:M56)</f>
        <v>-75.2</v>
      </c>
      <c r="O56" s="7" t="n">
        <f aca="false">STDEV(D56:M56)</f>
        <v>1.98885785202351</v>
      </c>
      <c r="P56" s="7" t="n">
        <f aca="false">MIN(D56:M56)</f>
        <v>-79</v>
      </c>
      <c r="Q56" s="7" t="n">
        <f aca="false">MAX(D56:M56)</f>
        <v>-72</v>
      </c>
    </row>
    <row r="57" customFormat="false" ht="15" hidden="false" customHeight="false" outlineLevel="0" collapsed="false">
      <c r="A57" s="6" t="s">
        <v>35</v>
      </c>
      <c r="B57" s="6" t="s">
        <v>40</v>
      </c>
      <c r="C57" s="6" t="n">
        <v>8</v>
      </c>
      <c r="D57" s="6" t="n">
        <v>-79</v>
      </c>
      <c r="E57" s="6" t="n">
        <v>-76</v>
      </c>
      <c r="F57" s="6" t="n">
        <v>-82</v>
      </c>
      <c r="G57" s="6" t="n">
        <v>-78</v>
      </c>
      <c r="H57" s="6" t="n">
        <v>-80</v>
      </c>
      <c r="I57" s="6" t="n">
        <v>-79</v>
      </c>
      <c r="J57" s="6" t="n">
        <v>-83</v>
      </c>
      <c r="K57" s="6" t="n">
        <v>-77</v>
      </c>
      <c r="L57" s="6" t="n">
        <v>-81</v>
      </c>
      <c r="M57" s="6" t="n">
        <v>-79</v>
      </c>
      <c r="N57" s="7" t="n">
        <f aca="false">AVERAGE(D57:M57)</f>
        <v>-79.4</v>
      </c>
      <c r="O57" s="7" t="n">
        <f aca="false">STDEV(D57:M57)</f>
        <v>2.17050941281329</v>
      </c>
      <c r="P57" s="7" t="n">
        <f aca="false">MIN(D57:M57)</f>
        <v>-83</v>
      </c>
      <c r="Q57" s="7" t="n">
        <f aca="false">MAX(D57:M57)</f>
        <v>-76</v>
      </c>
    </row>
    <row r="58" customFormat="false" ht="15" hidden="false" customHeight="false" outlineLevel="0" collapsed="false">
      <c r="A58" s="6" t="s">
        <v>35</v>
      </c>
      <c r="B58" s="6" t="s">
        <v>40</v>
      </c>
      <c r="C58" s="6" t="n">
        <v>9</v>
      </c>
      <c r="D58" s="6" t="n">
        <v>-81</v>
      </c>
      <c r="E58" s="6" t="n">
        <v>-78</v>
      </c>
      <c r="F58" s="6" t="n">
        <v>-84</v>
      </c>
      <c r="G58" s="6" t="n">
        <v>-80</v>
      </c>
      <c r="H58" s="6" t="n">
        <v>-82</v>
      </c>
      <c r="I58" s="6" t="n">
        <v>-81</v>
      </c>
      <c r="J58" s="6" t="n">
        <v>-85</v>
      </c>
      <c r="K58" s="6" t="n">
        <v>-79</v>
      </c>
      <c r="L58" s="6" t="n">
        <v>-83</v>
      </c>
      <c r="M58" s="6" t="n">
        <v>-81</v>
      </c>
      <c r="N58" s="7" t="n">
        <f aca="false">AVERAGE(D58:M58)</f>
        <v>-81.4</v>
      </c>
      <c r="O58" s="7" t="n">
        <f aca="false">STDEV(D58:M58)</f>
        <v>2.17050941281329</v>
      </c>
      <c r="P58" s="7" t="n">
        <f aca="false">MIN(D58:M58)</f>
        <v>-85</v>
      </c>
      <c r="Q58" s="7" t="n">
        <f aca="false">MAX(D58:M58)</f>
        <v>-78</v>
      </c>
    </row>
    <row r="59" customFormat="false" ht="15" hidden="false" customHeight="false" outlineLevel="0" collapsed="false">
      <c r="A59" s="6" t="s">
        <v>35</v>
      </c>
      <c r="B59" s="6" t="s">
        <v>40</v>
      </c>
      <c r="C59" s="6" t="n">
        <v>10</v>
      </c>
      <c r="D59" s="6" t="n">
        <v>-83</v>
      </c>
      <c r="E59" s="6" t="n">
        <v>-80</v>
      </c>
      <c r="F59" s="6" t="n">
        <v>-87</v>
      </c>
      <c r="G59" s="6" t="n">
        <v>-82</v>
      </c>
      <c r="H59" s="6" t="n">
        <v>-84</v>
      </c>
      <c r="I59" s="6" t="n">
        <v>-83</v>
      </c>
      <c r="J59" s="6" t="n">
        <v>-87</v>
      </c>
      <c r="K59" s="6" t="n">
        <v>-81</v>
      </c>
      <c r="L59" s="6" t="n">
        <v>-85</v>
      </c>
      <c r="M59" s="6" t="n">
        <v>-83</v>
      </c>
      <c r="N59" s="7" t="n">
        <f aca="false">AVERAGE(D59:M59)</f>
        <v>-83.5</v>
      </c>
      <c r="O59" s="7" t="n">
        <f aca="false">STDEV(D59:M59)</f>
        <v>2.32139804619735</v>
      </c>
      <c r="P59" s="7" t="n">
        <f aca="false">MIN(D59:M59)</f>
        <v>-87</v>
      </c>
      <c r="Q59" s="7" t="n">
        <f aca="false">MAX(D59:M59)</f>
        <v>-80</v>
      </c>
    </row>
    <row r="60" customFormat="false" ht="15" hidden="false" customHeight="false" outlineLevel="0" collapsed="false">
      <c r="A60" s="6" t="s">
        <v>35</v>
      </c>
      <c r="B60" s="6" t="s">
        <v>40</v>
      </c>
      <c r="C60" s="6" t="n">
        <v>11</v>
      </c>
      <c r="D60" s="6" t="n">
        <v>-85</v>
      </c>
      <c r="E60" s="6" t="n">
        <v>-82</v>
      </c>
      <c r="F60" s="6" t="n">
        <v>-89</v>
      </c>
      <c r="G60" s="6" t="n">
        <v>-84</v>
      </c>
      <c r="H60" s="6" t="n">
        <v>-87</v>
      </c>
      <c r="I60" s="6" t="n">
        <v>-85</v>
      </c>
      <c r="J60" s="6" t="n">
        <v>-90</v>
      </c>
      <c r="K60" s="6" t="n">
        <v>-83</v>
      </c>
      <c r="L60" s="6" t="n">
        <v>-86</v>
      </c>
      <c r="M60" s="6" t="n">
        <v>-85</v>
      </c>
      <c r="N60" s="7" t="n">
        <f aca="false">AVERAGE(D60:M60)</f>
        <v>-85.6</v>
      </c>
      <c r="O60" s="7" t="n">
        <f aca="false">STDEV(D60:M60)</f>
        <v>2.50333111406915</v>
      </c>
      <c r="P60" s="7" t="n">
        <f aca="false">MIN(D60:M60)</f>
        <v>-90</v>
      </c>
      <c r="Q60" s="7" t="n">
        <f aca="false">MAX(D60:M60)</f>
        <v>-82</v>
      </c>
    </row>
    <row r="61" customFormat="false" ht="15" hidden="false" customHeight="false" outlineLevel="0" collapsed="false">
      <c r="A61" s="6" t="s">
        <v>35</v>
      </c>
      <c r="B61" s="6" t="s">
        <v>40</v>
      </c>
      <c r="C61" s="6" t="n">
        <v>12</v>
      </c>
      <c r="D61" s="6" t="n">
        <v>-86</v>
      </c>
      <c r="E61" s="6" t="n">
        <v>-83</v>
      </c>
      <c r="F61" s="6" t="n">
        <v>-90</v>
      </c>
      <c r="G61" s="6" t="n">
        <v>-85</v>
      </c>
      <c r="H61" s="6" t="n">
        <v>-87</v>
      </c>
      <c r="I61" s="6" t="n">
        <v>-86</v>
      </c>
      <c r="J61" s="6" t="n">
        <v>-91</v>
      </c>
      <c r="K61" s="6" t="n">
        <v>-84</v>
      </c>
      <c r="L61" s="6" t="n">
        <v>-88</v>
      </c>
      <c r="M61" s="6" t="n">
        <v>-86</v>
      </c>
      <c r="N61" s="7" t="n">
        <f aca="false">AVERAGE(D61:M61)</f>
        <v>-86.6</v>
      </c>
      <c r="O61" s="7" t="n">
        <f aca="false">STDEV(D61:M61)</f>
        <v>2.50333111406915</v>
      </c>
      <c r="P61" s="7" t="n">
        <f aca="false">MIN(D61:M61)</f>
        <v>-91</v>
      </c>
      <c r="Q61" s="7" t="n">
        <f aca="false">MAX(D61:M61)</f>
        <v>-83</v>
      </c>
    </row>
    <row r="62" customFormat="false" ht="15" hidden="false" customHeight="false" outlineLevel="0" collapsed="false">
      <c r="A62" s="6" t="s">
        <v>35</v>
      </c>
      <c r="B62" s="6" t="s">
        <v>40</v>
      </c>
      <c r="C62" s="6" t="n">
        <v>13</v>
      </c>
      <c r="D62" s="6" t="n">
        <v>-88</v>
      </c>
      <c r="E62" s="6" t="n">
        <v>-85</v>
      </c>
      <c r="F62" s="6" t="n">
        <v>-92</v>
      </c>
      <c r="G62" s="6" t="n">
        <v>-87</v>
      </c>
      <c r="H62" s="6" t="n">
        <v>-90</v>
      </c>
      <c r="I62" s="6" t="n">
        <v>-88</v>
      </c>
      <c r="J62" s="6" t="n">
        <v>-93</v>
      </c>
      <c r="K62" s="6" t="n">
        <v>-86</v>
      </c>
      <c r="L62" s="6" t="n">
        <v>-89</v>
      </c>
      <c r="M62" s="6" t="n">
        <v>-88</v>
      </c>
      <c r="N62" s="7" t="n">
        <f aca="false">AVERAGE(D62:M62)</f>
        <v>-88.6</v>
      </c>
      <c r="O62" s="7" t="n">
        <f aca="false">STDEV(D62:M62)</f>
        <v>2.50333111406915</v>
      </c>
      <c r="P62" s="7" t="n">
        <f aca="false">MIN(D62:M62)</f>
        <v>-93</v>
      </c>
      <c r="Q62" s="7" t="n">
        <f aca="false">MAX(D62:M62)</f>
        <v>-85</v>
      </c>
    </row>
    <row r="63" customFormat="false" ht="15" hidden="false" customHeight="false" outlineLevel="0" collapsed="false">
      <c r="A63" s="6" t="s">
        <v>35</v>
      </c>
      <c r="B63" s="6" t="s">
        <v>40</v>
      </c>
      <c r="C63" s="6" t="n">
        <v>14</v>
      </c>
      <c r="D63" s="6" t="n">
        <v>-89</v>
      </c>
      <c r="E63" s="6" t="n">
        <v>-86</v>
      </c>
      <c r="F63" s="6" t="n">
        <v>-93</v>
      </c>
      <c r="G63" s="6" t="n">
        <v>-88</v>
      </c>
      <c r="H63" s="6" t="n">
        <v>-91</v>
      </c>
      <c r="I63" s="6" t="n">
        <v>-89</v>
      </c>
      <c r="J63" s="6" t="n">
        <v>-94</v>
      </c>
      <c r="K63" s="6" t="n">
        <v>-87</v>
      </c>
      <c r="L63" s="6" t="n">
        <v>-90</v>
      </c>
      <c r="M63" s="6" t="n">
        <v>-89</v>
      </c>
      <c r="N63" s="7" t="n">
        <f aca="false">AVERAGE(D63:M63)</f>
        <v>-89.6</v>
      </c>
      <c r="O63" s="7" t="n">
        <f aca="false">STDEV(D63:M63)</f>
        <v>2.50333111406915</v>
      </c>
      <c r="P63" s="7" t="n">
        <f aca="false">MIN(D63:M63)</f>
        <v>-94</v>
      </c>
      <c r="Q63" s="7" t="n">
        <f aca="false">MAX(D63:M63)</f>
        <v>-86</v>
      </c>
    </row>
    <row r="64" customFormat="false" ht="15" hidden="false" customHeight="false" outlineLevel="0" collapsed="false">
      <c r="A64" s="6" t="s">
        <v>35</v>
      </c>
      <c r="B64" s="6" t="s">
        <v>40</v>
      </c>
      <c r="C64" s="6" t="n">
        <v>15</v>
      </c>
      <c r="D64" s="6" t="n">
        <v>-90</v>
      </c>
      <c r="E64" s="6" t="n">
        <v>-87</v>
      </c>
      <c r="F64" s="6" t="n">
        <v>-95</v>
      </c>
      <c r="G64" s="6" t="n">
        <v>-89</v>
      </c>
      <c r="H64" s="6" t="n">
        <v>-92</v>
      </c>
      <c r="I64" s="6" t="n">
        <v>-90</v>
      </c>
      <c r="J64" s="6" t="n">
        <v>-95</v>
      </c>
      <c r="K64" s="6" t="n">
        <v>-88</v>
      </c>
      <c r="L64" s="6" t="n">
        <v>-91</v>
      </c>
      <c r="M64" s="6" t="n">
        <v>-90</v>
      </c>
      <c r="N64" s="7" t="n">
        <f aca="false">AVERAGE(D64:M64)</f>
        <v>-90.7</v>
      </c>
      <c r="O64" s="7" t="n">
        <f aca="false">STDEV(D64:M64)</f>
        <v>2.66874918683308</v>
      </c>
      <c r="P64" s="7" t="n">
        <f aca="false">MIN(D64:M64)</f>
        <v>-95</v>
      </c>
      <c r="Q64" s="7" t="n">
        <f aca="false">MAX(D64:M64)</f>
        <v>-87</v>
      </c>
    </row>
    <row r="66" customFormat="false" ht="26.85" hidden="false" customHeight="false" outlineLevel="0" collapsed="false">
      <c r="A66" s="6" t="s">
        <v>36</v>
      </c>
      <c r="B66" s="6" t="s">
        <v>40</v>
      </c>
      <c r="C66" s="6" t="n">
        <v>1</v>
      </c>
      <c r="D66" s="6" t="n">
        <v>-64</v>
      </c>
      <c r="E66" s="6" t="n">
        <v>-62</v>
      </c>
      <c r="F66" s="6" t="n">
        <v>-66</v>
      </c>
      <c r="G66" s="6" t="n">
        <v>-65</v>
      </c>
      <c r="H66" s="6" t="n">
        <v>-63</v>
      </c>
      <c r="I66" s="6" t="n">
        <v>-64</v>
      </c>
      <c r="J66" s="6" t="n">
        <v>-67</v>
      </c>
      <c r="K66" s="6" t="n">
        <v>-63</v>
      </c>
      <c r="L66" s="6" t="n">
        <v>-65</v>
      </c>
      <c r="M66" s="6" t="n">
        <v>-64</v>
      </c>
      <c r="N66" s="7" t="n">
        <f aca="false">AVERAGE(D66:M66)</f>
        <v>-64.3</v>
      </c>
      <c r="O66" s="7" t="n">
        <f aca="false">STDEV(D66:M66)</f>
        <v>1.49443411809733</v>
      </c>
      <c r="P66" s="7" t="n">
        <f aca="false">MIN(D66:M66)</f>
        <v>-67</v>
      </c>
      <c r="Q66" s="7" t="n">
        <f aca="false">MAX(D66:M66)</f>
        <v>-62</v>
      </c>
    </row>
    <row r="67" customFormat="false" ht="26.85" hidden="false" customHeight="false" outlineLevel="0" collapsed="false">
      <c r="A67" s="6" t="s">
        <v>36</v>
      </c>
      <c r="B67" s="6" t="s">
        <v>40</v>
      </c>
      <c r="C67" s="6" t="n">
        <v>2</v>
      </c>
      <c r="D67" s="6" t="n">
        <v>-71</v>
      </c>
      <c r="E67" s="6" t="n">
        <v>-69</v>
      </c>
      <c r="F67" s="6" t="n">
        <v>-73</v>
      </c>
      <c r="G67" s="6" t="n">
        <v>-72</v>
      </c>
      <c r="H67" s="6" t="n">
        <v>-70</v>
      </c>
      <c r="I67" s="6" t="n">
        <v>-71</v>
      </c>
      <c r="J67" s="6" t="n">
        <v>-75</v>
      </c>
      <c r="K67" s="6" t="n">
        <v>-70</v>
      </c>
      <c r="L67" s="6" t="n">
        <v>-72</v>
      </c>
      <c r="M67" s="6" t="n">
        <v>-71</v>
      </c>
      <c r="N67" s="7" t="n">
        <f aca="false">AVERAGE(D67:M67)</f>
        <v>-71.4</v>
      </c>
      <c r="O67" s="7" t="n">
        <f aca="false">STDEV(D67:M67)</f>
        <v>1.71269767715535</v>
      </c>
      <c r="P67" s="7" t="n">
        <f aca="false">MIN(D67:M67)</f>
        <v>-75</v>
      </c>
      <c r="Q67" s="7" t="n">
        <f aca="false">MAX(D67:M67)</f>
        <v>-69</v>
      </c>
    </row>
    <row r="68" customFormat="false" ht="26.85" hidden="false" customHeight="false" outlineLevel="0" collapsed="false">
      <c r="A68" s="6" t="s">
        <v>36</v>
      </c>
      <c r="B68" s="6" t="s">
        <v>40</v>
      </c>
      <c r="C68" s="6" t="n">
        <v>3</v>
      </c>
      <c r="D68" s="6" t="n">
        <v>-76</v>
      </c>
      <c r="E68" s="6" t="n">
        <v>-74</v>
      </c>
      <c r="F68" s="6" t="n">
        <v>-79</v>
      </c>
      <c r="G68" s="6" t="n">
        <v>-75</v>
      </c>
      <c r="H68" s="6" t="n">
        <v>-77</v>
      </c>
      <c r="I68" s="6" t="n">
        <v>-76</v>
      </c>
      <c r="J68" s="6" t="n">
        <v>-78</v>
      </c>
      <c r="K68" s="6" t="n">
        <v>-73</v>
      </c>
      <c r="L68" s="6" t="n">
        <v>-77</v>
      </c>
      <c r="M68" s="6" t="n">
        <v>-76</v>
      </c>
      <c r="N68" s="7" t="n">
        <f aca="false">AVERAGE(D68:M68)</f>
        <v>-76.1</v>
      </c>
      <c r="O68" s="7" t="n">
        <f aca="false">STDEV(D68:M68)</f>
        <v>1.79195734076208</v>
      </c>
      <c r="P68" s="7" t="n">
        <f aca="false">MIN(D68:M68)</f>
        <v>-79</v>
      </c>
      <c r="Q68" s="7" t="n">
        <f aca="false">MAX(D68:M68)</f>
        <v>-73</v>
      </c>
    </row>
    <row r="69" customFormat="false" ht="26.85" hidden="false" customHeight="false" outlineLevel="0" collapsed="false">
      <c r="A69" s="6" t="s">
        <v>36</v>
      </c>
      <c r="B69" s="6" t="s">
        <v>40</v>
      </c>
      <c r="C69" s="6" t="n">
        <v>4</v>
      </c>
      <c r="D69" s="6" t="n">
        <v>-73</v>
      </c>
      <c r="E69" s="6" t="n">
        <v>-71</v>
      </c>
      <c r="F69" s="6" t="n">
        <v>-76</v>
      </c>
      <c r="G69" s="6" t="n">
        <v>-72</v>
      </c>
      <c r="H69" s="6" t="n">
        <v>-74</v>
      </c>
      <c r="I69" s="6" t="n">
        <v>-73</v>
      </c>
      <c r="J69" s="6" t="n">
        <v>-75</v>
      </c>
      <c r="K69" s="6" t="n">
        <v>-71</v>
      </c>
      <c r="L69" s="6" t="n">
        <v>-74</v>
      </c>
      <c r="M69" s="6" t="n">
        <v>-73</v>
      </c>
      <c r="N69" s="7" t="n">
        <f aca="false">AVERAGE(D69:M69)</f>
        <v>-73.2</v>
      </c>
      <c r="O69" s="7" t="n">
        <f aca="false">STDEV(D69:M69)</f>
        <v>1.61932770686548</v>
      </c>
      <c r="P69" s="7" t="n">
        <f aca="false">MIN(D69:M69)</f>
        <v>-76</v>
      </c>
      <c r="Q69" s="7" t="n">
        <f aca="false">MAX(D69:M69)</f>
        <v>-71</v>
      </c>
    </row>
    <row r="70" customFormat="false" ht="26.85" hidden="false" customHeight="false" outlineLevel="0" collapsed="false">
      <c r="A70" s="6" t="s">
        <v>36</v>
      </c>
      <c r="B70" s="6" t="s">
        <v>40</v>
      </c>
      <c r="C70" s="6" t="n">
        <v>5</v>
      </c>
      <c r="D70" s="6" t="n">
        <v>-74</v>
      </c>
      <c r="E70" s="6" t="n">
        <v>-72</v>
      </c>
      <c r="F70" s="6" t="n">
        <v>-77</v>
      </c>
      <c r="G70" s="6" t="n">
        <v>-73</v>
      </c>
      <c r="H70" s="6" t="n">
        <v>-75</v>
      </c>
      <c r="I70" s="6" t="n">
        <v>-74</v>
      </c>
      <c r="J70" s="6" t="n">
        <v>-76</v>
      </c>
      <c r="K70" s="6" t="n">
        <v>-71</v>
      </c>
      <c r="L70" s="6" t="n">
        <v>-75</v>
      </c>
      <c r="M70" s="6" t="n">
        <v>-74</v>
      </c>
      <c r="N70" s="7" t="n">
        <f aca="false">AVERAGE(D70:M70)</f>
        <v>-74.1</v>
      </c>
      <c r="O70" s="7" t="n">
        <f aca="false">STDEV(D70:M70)</f>
        <v>1.79195734076208</v>
      </c>
      <c r="P70" s="7" t="n">
        <f aca="false">MIN(D70:M70)</f>
        <v>-77</v>
      </c>
      <c r="Q70" s="7" t="n">
        <f aca="false">MAX(D70:M70)</f>
        <v>-71</v>
      </c>
    </row>
    <row r="71" customFormat="false" ht="26.85" hidden="false" customHeight="false" outlineLevel="0" collapsed="false">
      <c r="A71" s="6" t="s">
        <v>36</v>
      </c>
      <c r="B71" s="6" t="s">
        <v>40</v>
      </c>
      <c r="C71" s="6" t="n">
        <v>6</v>
      </c>
      <c r="D71" s="6" t="n">
        <v>-72</v>
      </c>
      <c r="E71" s="6" t="n">
        <v>-70</v>
      </c>
      <c r="F71" s="6" t="n">
        <v>-75</v>
      </c>
      <c r="G71" s="6" t="n">
        <v>-71</v>
      </c>
      <c r="H71" s="6" t="n">
        <v>-73</v>
      </c>
      <c r="I71" s="6" t="n">
        <v>-72</v>
      </c>
      <c r="J71" s="6" t="n">
        <v>-76</v>
      </c>
      <c r="K71" s="6" t="n">
        <v>-69</v>
      </c>
      <c r="L71" s="6" t="n">
        <v>-74</v>
      </c>
      <c r="M71" s="6" t="n">
        <v>-72</v>
      </c>
      <c r="N71" s="7" t="n">
        <f aca="false">AVERAGE(D71:M71)</f>
        <v>-72.4</v>
      </c>
      <c r="O71" s="7" t="n">
        <f aca="false">STDEV(D71:M71)</f>
        <v>2.17050941281329</v>
      </c>
      <c r="P71" s="7" t="n">
        <f aca="false">MIN(D71:M71)</f>
        <v>-76</v>
      </c>
      <c r="Q71" s="7" t="n">
        <f aca="false">MAX(D71:M71)</f>
        <v>-69</v>
      </c>
    </row>
    <row r="72" customFormat="false" ht="26.85" hidden="false" customHeight="false" outlineLevel="0" collapsed="false">
      <c r="A72" s="6" t="s">
        <v>36</v>
      </c>
      <c r="B72" s="6" t="s">
        <v>40</v>
      </c>
      <c r="C72" s="6" t="n">
        <v>7</v>
      </c>
      <c r="D72" s="6" t="n">
        <v>-75</v>
      </c>
      <c r="E72" s="6" t="n">
        <v>-73</v>
      </c>
      <c r="F72" s="6" t="n">
        <v>-78</v>
      </c>
      <c r="G72" s="6" t="n">
        <v>-74</v>
      </c>
      <c r="H72" s="6" t="n">
        <v>-76</v>
      </c>
      <c r="I72" s="6" t="n">
        <v>-75</v>
      </c>
      <c r="J72" s="6" t="n">
        <v>-79</v>
      </c>
      <c r="K72" s="6" t="n">
        <v>-72</v>
      </c>
      <c r="L72" s="6" t="n">
        <v>-77</v>
      </c>
      <c r="M72" s="6" t="n">
        <v>-75</v>
      </c>
      <c r="N72" s="7" t="n">
        <f aca="false">AVERAGE(D72:M72)</f>
        <v>-75.4</v>
      </c>
      <c r="O72" s="7" t="n">
        <f aca="false">STDEV(D72:M72)</f>
        <v>2.17050941281329</v>
      </c>
      <c r="P72" s="7" t="n">
        <f aca="false">MIN(D72:M72)</f>
        <v>-79</v>
      </c>
      <c r="Q72" s="7" t="n">
        <f aca="false">MAX(D72:M72)</f>
        <v>-72</v>
      </c>
    </row>
    <row r="73" customFormat="false" ht="26.85" hidden="false" customHeight="false" outlineLevel="0" collapsed="false">
      <c r="A73" s="6" t="s">
        <v>36</v>
      </c>
      <c r="B73" s="6" t="s">
        <v>40</v>
      </c>
      <c r="C73" s="6" t="n">
        <v>8</v>
      </c>
      <c r="D73" s="6" t="n">
        <v>-77</v>
      </c>
      <c r="E73" s="6" t="n">
        <v>-74</v>
      </c>
      <c r="F73" s="6" t="n">
        <v>-80</v>
      </c>
      <c r="G73" s="6" t="n">
        <v>-76</v>
      </c>
      <c r="H73" s="6" t="n">
        <v>-78</v>
      </c>
      <c r="I73" s="6" t="n">
        <v>-77</v>
      </c>
      <c r="J73" s="6" t="n">
        <v>-81</v>
      </c>
      <c r="K73" s="6" t="n">
        <v>-75</v>
      </c>
      <c r="L73" s="6" t="n">
        <v>-79</v>
      </c>
      <c r="M73" s="6" t="n">
        <v>-77</v>
      </c>
      <c r="N73" s="7" t="n">
        <f aca="false">AVERAGE(D73:M73)</f>
        <v>-77.4</v>
      </c>
      <c r="O73" s="7" t="n">
        <f aca="false">STDEV(D73:M73)</f>
        <v>2.17050941281329</v>
      </c>
      <c r="P73" s="7" t="n">
        <f aca="false">MIN(D73:M73)</f>
        <v>-81</v>
      </c>
      <c r="Q73" s="7" t="n">
        <f aca="false">MAX(D73:M73)</f>
        <v>-74</v>
      </c>
    </row>
    <row r="74" customFormat="false" ht="26.85" hidden="false" customHeight="false" outlineLevel="0" collapsed="false">
      <c r="A74" s="6" t="s">
        <v>36</v>
      </c>
      <c r="B74" s="6" t="s">
        <v>40</v>
      </c>
      <c r="C74" s="6" t="n">
        <v>9</v>
      </c>
      <c r="D74" s="6" t="n">
        <v>-80</v>
      </c>
      <c r="E74" s="6" t="n">
        <v>-77</v>
      </c>
      <c r="F74" s="6" t="n">
        <v>-83</v>
      </c>
      <c r="G74" s="6" t="n">
        <v>-79</v>
      </c>
      <c r="H74" s="6" t="n">
        <v>-81</v>
      </c>
      <c r="I74" s="6" t="n">
        <v>-80</v>
      </c>
      <c r="J74" s="6" t="n">
        <v>-84</v>
      </c>
      <c r="K74" s="6" t="n">
        <v>-78</v>
      </c>
      <c r="L74" s="6" t="n">
        <v>-82</v>
      </c>
      <c r="M74" s="6" t="n">
        <v>-80</v>
      </c>
      <c r="N74" s="7" t="n">
        <f aca="false">AVERAGE(D74:M74)</f>
        <v>-80.4</v>
      </c>
      <c r="O74" s="7" t="n">
        <f aca="false">STDEV(D74:M74)</f>
        <v>2.17050941281329</v>
      </c>
      <c r="P74" s="7" t="n">
        <f aca="false">MIN(D74:M74)</f>
        <v>-84</v>
      </c>
      <c r="Q74" s="7" t="n">
        <f aca="false">MAX(D74:M74)</f>
        <v>-77</v>
      </c>
    </row>
    <row r="75" customFormat="false" ht="26.85" hidden="false" customHeight="false" outlineLevel="0" collapsed="false">
      <c r="A75" s="6" t="s">
        <v>36</v>
      </c>
      <c r="B75" s="6" t="s">
        <v>40</v>
      </c>
      <c r="C75" s="6" t="n">
        <v>10</v>
      </c>
      <c r="D75" s="6" t="n">
        <v>-81</v>
      </c>
      <c r="E75" s="6" t="n">
        <v>-78</v>
      </c>
      <c r="F75" s="6" t="n">
        <v>-85</v>
      </c>
      <c r="G75" s="6" t="n">
        <v>-80</v>
      </c>
      <c r="H75" s="6" t="n">
        <v>-82</v>
      </c>
      <c r="I75" s="6" t="n">
        <v>-81</v>
      </c>
      <c r="J75" s="6" t="n">
        <v>-85</v>
      </c>
      <c r="K75" s="6" t="n">
        <v>-79</v>
      </c>
      <c r="L75" s="6" t="n">
        <v>-83</v>
      </c>
      <c r="M75" s="6" t="n">
        <v>-81</v>
      </c>
      <c r="N75" s="7" t="n">
        <f aca="false">AVERAGE(D75:M75)</f>
        <v>-81.5</v>
      </c>
      <c r="O75" s="7" t="n">
        <f aca="false">STDEV(D75:M75)</f>
        <v>2.32139804619735</v>
      </c>
      <c r="P75" s="7" t="n">
        <f aca="false">MIN(D75:M75)</f>
        <v>-85</v>
      </c>
      <c r="Q75" s="7" t="n">
        <f aca="false">MAX(D75:M75)</f>
        <v>-78</v>
      </c>
    </row>
    <row r="76" customFormat="false" ht="26.85" hidden="false" customHeight="false" outlineLevel="0" collapsed="false">
      <c r="A76" s="6" t="s">
        <v>36</v>
      </c>
      <c r="B76" s="6" t="s">
        <v>40</v>
      </c>
      <c r="C76" s="6" t="n">
        <v>11</v>
      </c>
      <c r="D76" s="6" t="n">
        <v>-83</v>
      </c>
      <c r="E76" s="6" t="n">
        <v>-80</v>
      </c>
      <c r="F76" s="6" t="n">
        <v>-87</v>
      </c>
      <c r="G76" s="6" t="n">
        <v>-82</v>
      </c>
      <c r="H76" s="6" t="n">
        <v>-85</v>
      </c>
      <c r="I76" s="6" t="n">
        <v>-83</v>
      </c>
      <c r="J76" s="6" t="n">
        <v>-88</v>
      </c>
      <c r="K76" s="6" t="n">
        <v>-81</v>
      </c>
      <c r="L76" s="6" t="n">
        <v>-84</v>
      </c>
      <c r="M76" s="6" t="n">
        <v>-83</v>
      </c>
      <c r="N76" s="7" t="n">
        <f aca="false">AVERAGE(D76:M76)</f>
        <v>-83.6</v>
      </c>
      <c r="O76" s="7" t="n">
        <f aca="false">STDEV(D76:M76)</f>
        <v>2.50333111406915</v>
      </c>
      <c r="P76" s="7" t="n">
        <f aca="false">MIN(D76:M76)</f>
        <v>-88</v>
      </c>
      <c r="Q76" s="7" t="n">
        <f aca="false">MAX(D76:M76)</f>
        <v>-80</v>
      </c>
    </row>
    <row r="77" customFormat="false" ht="26.85" hidden="false" customHeight="false" outlineLevel="0" collapsed="false">
      <c r="A77" s="6" t="s">
        <v>36</v>
      </c>
      <c r="B77" s="6" t="s">
        <v>40</v>
      </c>
      <c r="C77" s="6" t="n">
        <v>12</v>
      </c>
      <c r="D77" s="6" t="n">
        <v>-85</v>
      </c>
      <c r="E77" s="6" t="n">
        <v>-82</v>
      </c>
      <c r="F77" s="6" t="n">
        <v>-89</v>
      </c>
      <c r="G77" s="6" t="n">
        <v>-84</v>
      </c>
      <c r="H77" s="6" t="n">
        <v>-86</v>
      </c>
      <c r="I77" s="6" t="n">
        <v>-85</v>
      </c>
      <c r="J77" s="6" t="n">
        <v>-90</v>
      </c>
      <c r="K77" s="6" t="n">
        <v>-83</v>
      </c>
      <c r="L77" s="6" t="n">
        <v>-87</v>
      </c>
      <c r="M77" s="6" t="n">
        <v>-85</v>
      </c>
      <c r="N77" s="7" t="n">
        <f aca="false">AVERAGE(D77:M77)</f>
        <v>-85.6</v>
      </c>
      <c r="O77" s="7" t="n">
        <f aca="false">STDEV(D77:M77)</f>
        <v>2.50333111406915</v>
      </c>
      <c r="P77" s="7" t="n">
        <f aca="false">MIN(D77:M77)</f>
        <v>-90</v>
      </c>
      <c r="Q77" s="7" t="n">
        <f aca="false">MAX(D77:M77)</f>
        <v>-82</v>
      </c>
    </row>
    <row r="78" customFormat="false" ht="26.85" hidden="false" customHeight="false" outlineLevel="0" collapsed="false">
      <c r="A78" s="6" t="s">
        <v>36</v>
      </c>
      <c r="B78" s="6" t="s">
        <v>40</v>
      </c>
      <c r="C78" s="6" t="n">
        <v>13</v>
      </c>
      <c r="D78" s="6" t="n">
        <v>-87</v>
      </c>
      <c r="E78" s="6" t="n">
        <v>-84</v>
      </c>
      <c r="F78" s="6" t="n">
        <v>-91</v>
      </c>
      <c r="G78" s="6" t="n">
        <v>-86</v>
      </c>
      <c r="H78" s="6" t="n">
        <v>-89</v>
      </c>
      <c r="I78" s="6" t="n">
        <v>-87</v>
      </c>
      <c r="J78" s="6" t="n">
        <v>-92</v>
      </c>
      <c r="K78" s="6" t="n">
        <v>-85</v>
      </c>
      <c r="L78" s="6" t="n">
        <v>-88</v>
      </c>
      <c r="M78" s="6" t="n">
        <v>-87</v>
      </c>
      <c r="N78" s="7" t="n">
        <f aca="false">AVERAGE(D78:M78)</f>
        <v>-87.6</v>
      </c>
      <c r="O78" s="7" t="n">
        <f aca="false">STDEV(D78:M78)</f>
        <v>2.50333111406915</v>
      </c>
      <c r="P78" s="7" t="n">
        <f aca="false">MIN(D78:M78)</f>
        <v>-92</v>
      </c>
      <c r="Q78" s="7" t="n">
        <f aca="false">MAX(D78:M78)</f>
        <v>-84</v>
      </c>
    </row>
    <row r="79" customFormat="false" ht="26.85" hidden="false" customHeight="false" outlineLevel="0" collapsed="false">
      <c r="A79" s="6" t="s">
        <v>36</v>
      </c>
      <c r="B79" s="6" t="s">
        <v>40</v>
      </c>
      <c r="C79" s="6" t="n">
        <v>14</v>
      </c>
      <c r="D79" s="6" t="n">
        <v>-88</v>
      </c>
      <c r="E79" s="6" t="n">
        <v>-85</v>
      </c>
      <c r="F79" s="6" t="n">
        <v>-92</v>
      </c>
      <c r="G79" s="6" t="n">
        <v>-87</v>
      </c>
      <c r="H79" s="6" t="n">
        <v>-89</v>
      </c>
      <c r="I79" s="6" t="n">
        <v>-88</v>
      </c>
      <c r="J79" s="6" t="n">
        <v>-93</v>
      </c>
      <c r="K79" s="6" t="n">
        <v>-86</v>
      </c>
      <c r="L79" s="6" t="n">
        <v>-90</v>
      </c>
      <c r="M79" s="6" t="n">
        <v>-88</v>
      </c>
      <c r="N79" s="7" t="n">
        <f aca="false">AVERAGE(D79:M79)</f>
        <v>-88.6</v>
      </c>
      <c r="O79" s="7" t="n">
        <f aca="false">STDEV(D79:M79)</f>
        <v>2.50333111406915</v>
      </c>
      <c r="P79" s="7" t="n">
        <f aca="false">MIN(D79:M79)</f>
        <v>-93</v>
      </c>
      <c r="Q79" s="7" t="n">
        <f aca="false">MAX(D79:M79)</f>
        <v>-85</v>
      </c>
    </row>
    <row r="80" customFormat="false" ht="26.85" hidden="false" customHeight="false" outlineLevel="0" collapsed="false">
      <c r="A80" s="6" t="s">
        <v>36</v>
      </c>
      <c r="B80" s="6" t="s">
        <v>40</v>
      </c>
      <c r="C80" s="6" t="n">
        <v>15</v>
      </c>
      <c r="D80" s="6" t="n">
        <v>-90</v>
      </c>
      <c r="E80" s="6" t="n">
        <v>-87</v>
      </c>
      <c r="F80" s="6" t="n">
        <v>-94</v>
      </c>
      <c r="G80" s="6" t="n">
        <v>-89</v>
      </c>
      <c r="H80" s="6" t="n">
        <v>-92</v>
      </c>
      <c r="I80" s="6" t="n">
        <v>-90</v>
      </c>
      <c r="J80" s="6" t="n">
        <v>-95</v>
      </c>
      <c r="K80" s="6" t="n">
        <v>-88</v>
      </c>
      <c r="L80" s="6" t="n">
        <v>-91</v>
      </c>
      <c r="M80" s="6" t="n">
        <v>-90</v>
      </c>
      <c r="N80" s="7" t="n">
        <f aca="false">AVERAGE(D80:M80)</f>
        <v>-90.6</v>
      </c>
      <c r="O80" s="7" t="n">
        <f aca="false">STDEV(D80:M80)</f>
        <v>2.50333111406915</v>
      </c>
      <c r="P80" s="7" t="n">
        <f aca="false">MIN(D80:M80)</f>
        <v>-95</v>
      </c>
      <c r="Q80" s="7" t="n">
        <f aca="false">MAX(D80:M80)</f>
        <v>-87</v>
      </c>
    </row>
    <row r="82" customFormat="false" ht="26.85" hidden="false" customHeight="false" outlineLevel="0" collapsed="false">
      <c r="A82" s="6" t="s">
        <v>36</v>
      </c>
      <c r="B82" s="6" t="s">
        <v>39</v>
      </c>
      <c r="C82" s="6" t="n">
        <v>1</v>
      </c>
      <c r="D82" s="6" t="n">
        <v>-58</v>
      </c>
      <c r="E82" s="6" t="n">
        <v>-56</v>
      </c>
      <c r="F82" s="6" t="n">
        <v>-60</v>
      </c>
      <c r="G82" s="6" t="n">
        <v>-59</v>
      </c>
      <c r="H82" s="6" t="n">
        <v>-57</v>
      </c>
      <c r="I82" s="6" t="n">
        <v>-58</v>
      </c>
      <c r="J82" s="6" t="n">
        <v>-61</v>
      </c>
      <c r="K82" s="6" t="n">
        <v>-57</v>
      </c>
      <c r="L82" s="6" t="n">
        <v>-59</v>
      </c>
      <c r="M82" s="6" t="n">
        <v>-58</v>
      </c>
      <c r="N82" s="7" t="n">
        <f aca="false">AVERAGE(D82:M82)</f>
        <v>-58.3</v>
      </c>
      <c r="O82" s="7" t="n">
        <f aca="false">STDEV(D82:M82)</f>
        <v>1.49443411809733</v>
      </c>
      <c r="P82" s="7" t="n">
        <f aca="false">MIN(D82:M82)</f>
        <v>-61</v>
      </c>
      <c r="Q82" s="7" t="n">
        <f aca="false">MAX(D82:M82)</f>
        <v>-56</v>
      </c>
    </row>
    <row r="83" customFormat="false" ht="26.85" hidden="false" customHeight="false" outlineLevel="0" collapsed="false">
      <c r="A83" s="6" t="s">
        <v>36</v>
      </c>
      <c r="B83" s="6" t="s">
        <v>39</v>
      </c>
      <c r="C83" s="6" t="n">
        <v>2</v>
      </c>
      <c r="D83" s="6" t="n">
        <v>-61</v>
      </c>
      <c r="E83" s="6" t="n">
        <v>-59</v>
      </c>
      <c r="F83" s="6" t="n">
        <v>-63</v>
      </c>
      <c r="G83" s="6" t="n">
        <v>-62</v>
      </c>
      <c r="H83" s="6" t="n">
        <v>-60</v>
      </c>
      <c r="I83" s="6" t="n">
        <v>-61</v>
      </c>
      <c r="J83" s="6" t="n">
        <v>-65</v>
      </c>
      <c r="K83" s="6" t="n">
        <v>-60</v>
      </c>
      <c r="L83" s="6" t="n">
        <v>-62</v>
      </c>
      <c r="M83" s="6" t="n">
        <v>-61</v>
      </c>
      <c r="N83" s="7" t="n">
        <f aca="false">AVERAGE(D83:M83)</f>
        <v>-61.4</v>
      </c>
      <c r="O83" s="7" t="n">
        <f aca="false">STDEV(D83:M83)</f>
        <v>1.71269767715535</v>
      </c>
      <c r="P83" s="7" t="n">
        <f aca="false">MIN(D83:M83)</f>
        <v>-65</v>
      </c>
      <c r="Q83" s="7" t="n">
        <f aca="false">MAX(D83:M83)</f>
        <v>-59</v>
      </c>
    </row>
    <row r="84" customFormat="false" ht="26.85" hidden="false" customHeight="false" outlineLevel="0" collapsed="false">
      <c r="A84" s="6" t="s">
        <v>36</v>
      </c>
      <c r="B84" s="6" t="s">
        <v>39</v>
      </c>
      <c r="C84" s="6" t="n">
        <v>3</v>
      </c>
      <c r="D84" s="6" t="n">
        <v>-63</v>
      </c>
      <c r="E84" s="6" t="n">
        <v>-61</v>
      </c>
      <c r="F84" s="6" t="n">
        <v>-66</v>
      </c>
      <c r="G84" s="6" t="n">
        <v>-62</v>
      </c>
      <c r="H84" s="6" t="n">
        <v>-64</v>
      </c>
      <c r="I84" s="6" t="n">
        <v>-63</v>
      </c>
      <c r="J84" s="6" t="n">
        <v>-65</v>
      </c>
      <c r="K84" s="6" t="n">
        <v>-60</v>
      </c>
      <c r="L84" s="6" t="n">
        <v>-64</v>
      </c>
      <c r="M84" s="6" t="n">
        <v>-63</v>
      </c>
      <c r="N84" s="7" t="n">
        <f aca="false">AVERAGE(D84:M84)</f>
        <v>-63.1</v>
      </c>
      <c r="O84" s="7" t="n">
        <f aca="false">STDEV(D84:M84)</f>
        <v>1.79195734076208</v>
      </c>
      <c r="P84" s="7" t="n">
        <f aca="false">MIN(D84:M84)</f>
        <v>-66</v>
      </c>
      <c r="Q84" s="7" t="n">
        <f aca="false">MAX(D84:M84)</f>
        <v>-60</v>
      </c>
    </row>
    <row r="85" customFormat="false" ht="26.85" hidden="false" customHeight="false" outlineLevel="0" collapsed="false">
      <c r="A85" s="6" t="s">
        <v>36</v>
      </c>
      <c r="B85" s="6" t="s">
        <v>39</v>
      </c>
      <c r="C85" s="6" t="n">
        <v>4</v>
      </c>
      <c r="D85" s="6" t="n">
        <v>-68</v>
      </c>
      <c r="E85" s="6" t="n">
        <v>-66</v>
      </c>
      <c r="F85" s="6" t="n">
        <v>-71</v>
      </c>
      <c r="G85" s="6" t="n">
        <v>-67</v>
      </c>
      <c r="H85" s="6" t="n">
        <v>-69</v>
      </c>
      <c r="I85" s="6" t="n">
        <v>-68</v>
      </c>
      <c r="J85" s="6" t="n">
        <v>-70</v>
      </c>
      <c r="K85" s="6" t="n">
        <v>-66</v>
      </c>
      <c r="L85" s="6" t="n">
        <v>-69</v>
      </c>
      <c r="M85" s="6" t="n">
        <v>-68</v>
      </c>
      <c r="N85" s="7" t="n">
        <f aca="false">AVERAGE(D85:M85)</f>
        <v>-68.2</v>
      </c>
      <c r="O85" s="7" t="n">
        <f aca="false">STDEV(D85:M85)</f>
        <v>1.61932770686548</v>
      </c>
      <c r="P85" s="7" t="n">
        <f aca="false">MIN(D85:M85)</f>
        <v>-71</v>
      </c>
      <c r="Q85" s="7" t="n">
        <f aca="false">MAX(D85:M85)</f>
        <v>-66</v>
      </c>
    </row>
    <row r="86" customFormat="false" ht="26.85" hidden="false" customHeight="false" outlineLevel="0" collapsed="false">
      <c r="A86" s="6" t="s">
        <v>36</v>
      </c>
      <c r="B86" s="6" t="s">
        <v>39</v>
      </c>
      <c r="C86" s="6" t="n">
        <v>5</v>
      </c>
      <c r="D86" s="6" t="n">
        <v>-69</v>
      </c>
      <c r="E86" s="6" t="n">
        <v>-67</v>
      </c>
      <c r="F86" s="6" t="n">
        <v>-72</v>
      </c>
      <c r="G86" s="6" t="n">
        <v>-68</v>
      </c>
      <c r="H86" s="6" t="n">
        <v>-70</v>
      </c>
      <c r="I86" s="6" t="n">
        <v>-69</v>
      </c>
      <c r="J86" s="6" t="n">
        <v>-71</v>
      </c>
      <c r="K86" s="6" t="n">
        <v>-66</v>
      </c>
      <c r="L86" s="6" t="n">
        <v>-70</v>
      </c>
      <c r="M86" s="6" t="n">
        <v>-69</v>
      </c>
      <c r="N86" s="7" t="n">
        <f aca="false">AVERAGE(D86:M86)</f>
        <v>-69.1</v>
      </c>
      <c r="O86" s="7" t="n">
        <f aca="false">STDEV(D86:M86)</f>
        <v>1.79195734076208</v>
      </c>
      <c r="P86" s="7" t="n">
        <f aca="false">MIN(D86:M86)</f>
        <v>-72</v>
      </c>
      <c r="Q86" s="7" t="n">
        <f aca="false">MAX(D86:M86)</f>
        <v>-66</v>
      </c>
    </row>
    <row r="87" customFormat="false" ht="26.85" hidden="false" customHeight="false" outlineLevel="0" collapsed="false">
      <c r="A87" s="6" t="s">
        <v>36</v>
      </c>
      <c r="B87" s="6" t="s">
        <v>39</v>
      </c>
      <c r="C87" s="6" t="n">
        <v>6</v>
      </c>
      <c r="D87" s="6" t="n">
        <v>-70</v>
      </c>
      <c r="E87" s="6" t="n">
        <v>-68</v>
      </c>
      <c r="F87" s="6" t="n">
        <v>-73</v>
      </c>
      <c r="G87" s="6" t="n">
        <v>-69</v>
      </c>
      <c r="H87" s="6" t="n">
        <v>-71</v>
      </c>
      <c r="I87" s="6" t="n">
        <v>-70</v>
      </c>
      <c r="J87" s="6" t="n">
        <v>-74</v>
      </c>
      <c r="K87" s="6" t="n">
        <v>-67</v>
      </c>
      <c r="L87" s="6" t="n">
        <v>-72</v>
      </c>
      <c r="M87" s="6" t="n">
        <v>-70</v>
      </c>
      <c r="N87" s="7" t="n">
        <f aca="false">AVERAGE(D87:M87)</f>
        <v>-70.4</v>
      </c>
      <c r="O87" s="7" t="n">
        <f aca="false">STDEV(D87:M87)</f>
        <v>2.17050941281329</v>
      </c>
      <c r="P87" s="7" t="n">
        <f aca="false">MIN(D87:M87)</f>
        <v>-74</v>
      </c>
      <c r="Q87" s="7" t="n">
        <f aca="false">MAX(D87:M87)</f>
        <v>-67</v>
      </c>
    </row>
    <row r="88" customFormat="false" ht="26.85" hidden="false" customHeight="false" outlineLevel="0" collapsed="false">
      <c r="A88" s="6" t="s">
        <v>36</v>
      </c>
      <c r="B88" s="6" t="s">
        <v>39</v>
      </c>
      <c r="C88" s="6" t="n">
        <v>7</v>
      </c>
      <c r="D88" s="6" t="n">
        <v>-72</v>
      </c>
      <c r="E88" s="6" t="n">
        <v>-70</v>
      </c>
      <c r="F88" s="6" t="n">
        <v>-75</v>
      </c>
      <c r="G88" s="6" t="n">
        <v>-71</v>
      </c>
      <c r="H88" s="6" t="n">
        <v>-73</v>
      </c>
      <c r="I88" s="6" t="n">
        <v>-72</v>
      </c>
      <c r="J88" s="6" t="n">
        <v>-76</v>
      </c>
      <c r="K88" s="6" t="n">
        <v>-69</v>
      </c>
      <c r="L88" s="6" t="n">
        <v>-74</v>
      </c>
      <c r="M88" s="6" t="n">
        <v>-72</v>
      </c>
      <c r="N88" s="7" t="n">
        <f aca="false">AVERAGE(D88:M88)</f>
        <v>-72.4</v>
      </c>
      <c r="O88" s="7" t="n">
        <f aca="false">STDEV(D88:M88)</f>
        <v>2.17050941281329</v>
      </c>
      <c r="P88" s="7" t="n">
        <f aca="false">MIN(D88:M88)</f>
        <v>-76</v>
      </c>
      <c r="Q88" s="7" t="n">
        <f aca="false">MAX(D88:M88)</f>
        <v>-69</v>
      </c>
    </row>
    <row r="89" customFormat="false" ht="26.85" hidden="false" customHeight="false" outlineLevel="0" collapsed="false">
      <c r="A89" s="6" t="s">
        <v>36</v>
      </c>
      <c r="B89" s="6" t="s">
        <v>39</v>
      </c>
      <c r="C89" s="6" t="n">
        <v>8</v>
      </c>
      <c r="D89" s="6" t="n">
        <v>-74</v>
      </c>
      <c r="E89" s="6" t="n">
        <v>-71</v>
      </c>
      <c r="F89" s="6" t="n">
        <v>-77</v>
      </c>
      <c r="G89" s="6" t="n">
        <v>-73</v>
      </c>
      <c r="H89" s="6" t="n">
        <v>-75</v>
      </c>
      <c r="I89" s="6" t="n">
        <v>-74</v>
      </c>
      <c r="J89" s="6" t="n">
        <v>-78</v>
      </c>
      <c r="K89" s="6" t="n">
        <v>-72</v>
      </c>
      <c r="L89" s="6" t="n">
        <v>-76</v>
      </c>
      <c r="M89" s="6" t="n">
        <v>-74</v>
      </c>
      <c r="N89" s="7" t="n">
        <f aca="false">AVERAGE(D89:M89)</f>
        <v>-74.4</v>
      </c>
      <c r="O89" s="7" t="n">
        <f aca="false">STDEV(D89:M89)</f>
        <v>2.17050941281329</v>
      </c>
      <c r="P89" s="7" t="n">
        <f aca="false">MIN(D89:M89)</f>
        <v>-78</v>
      </c>
      <c r="Q89" s="7" t="n">
        <f aca="false">MAX(D89:M89)</f>
        <v>-71</v>
      </c>
    </row>
    <row r="90" customFormat="false" ht="26.85" hidden="false" customHeight="false" outlineLevel="0" collapsed="false">
      <c r="A90" s="6" t="s">
        <v>36</v>
      </c>
      <c r="B90" s="6" t="s">
        <v>39</v>
      </c>
      <c r="C90" s="6" t="n">
        <v>9</v>
      </c>
      <c r="D90" s="6" t="n">
        <v>-76</v>
      </c>
      <c r="E90" s="6" t="n">
        <v>-73</v>
      </c>
      <c r="F90" s="6" t="n">
        <v>-79</v>
      </c>
      <c r="G90" s="6" t="n">
        <v>-75</v>
      </c>
      <c r="H90" s="6" t="n">
        <v>-77</v>
      </c>
      <c r="I90" s="6" t="n">
        <v>-76</v>
      </c>
      <c r="J90" s="6" t="n">
        <v>-80</v>
      </c>
      <c r="K90" s="6" t="n">
        <v>-74</v>
      </c>
      <c r="L90" s="6" t="n">
        <v>-78</v>
      </c>
      <c r="M90" s="6" t="n">
        <v>-76</v>
      </c>
      <c r="N90" s="7" t="n">
        <f aca="false">AVERAGE(D90:M90)</f>
        <v>-76.4</v>
      </c>
      <c r="O90" s="7" t="n">
        <f aca="false">STDEV(D90:M90)</f>
        <v>2.17050941281329</v>
      </c>
      <c r="P90" s="7" t="n">
        <f aca="false">MIN(D90:M90)</f>
        <v>-80</v>
      </c>
      <c r="Q90" s="7" t="n">
        <f aca="false">MAX(D90:M90)</f>
        <v>-73</v>
      </c>
    </row>
    <row r="91" customFormat="false" ht="26.85" hidden="false" customHeight="false" outlineLevel="0" collapsed="false">
      <c r="A91" s="6" t="s">
        <v>36</v>
      </c>
      <c r="B91" s="6" t="s">
        <v>39</v>
      </c>
      <c r="C91" s="6" t="n">
        <v>10</v>
      </c>
      <c r="D91" s="6" t="n">
        <v>-77</v>
      </c>
      <c r="E91" s="6" t="n">
        <v>-74</v>
      </c>
      <c r="F91" s="6" t="n">
        <v>-80</v>
      </c>
      <c r="G91" s="6" t="n">
        <v>-76</v>
      </c>
      <c r="H91" s="6" t="n">
        <v>-78</v>
      </c>
      <c r="I91" s="6" t="n">
        <v>-77</v>
      </c>
      <c r="J91" s="6" t="n">
        <v>-81</v>
      </c>
      <c r="K91" s="6" t="n">
        <v>-75</v>
      </c>
      <c r="L91" s="6" t="n">
        <v>-79</v>
      </c>
      <c r="M91" s="6" t="n">
        <v>-77</v>
      </c>
      <c r="N91" s="7" t="n">
        <f aca="false">AVERAGE(D91:M91)</f>
        <v>-77.4</v>
      </c>
      <c r="O91" s="7" t="n">
        <f aca="false">STDEV(D91:M91)</f>
        <v>2.17050941281329</v>
      </c>
      <c r="P91" s="7" t="n">
        <f aca="false">MIN(D91:M91)</f>
        <v>-81</v>
      </c>
      <c r="Q91" s="7" t="n">
        <f aca="false">MAX(D91:M91)</f>
        <v>-74</v>
      </c>
    </row>
    <row r="92" customFormat="false" ht="26.85" hidden="false" customHeight="false" outlineLevel="0" collapsed="false">
      <c r="A92" s="6" t="s">
        <v>36</v>
      </c>
      <c r="B92" s="6" t="s">
        <v>39</v>
      </c>
      <c r="C92" s="6" t="n">
        <v>11</v>
      </c>
      <c r="D92" s="6" t="n">
        <v>-79</v>
      </c>
      <c r="E92" s="6" t="n">
        <v>-76</v>
      </c>
      <c r="F92" s="6" t="n">
        <v>-83</v>
      </c>
      <c r="G92" s="6" t="n">
        <v>-78</v>
      </c>
      <c r="H92" s="6" t="n">
        <v>-81</v>
      </c>
      <c r="I92" s="6" t="n">
        <v>-79</v>
      </c>
      <c r="J92" s="6" t="n">
        <v>-84</v>
      </c>
      <c r="K92" s="6" t="n">
        <v>-77</v>
      </c>
      <c r="L92" s="6" t="n">
        <v>-80</v>
      </c>
      <c r="M92" s="6" t="n">
        <v>-79</v>
      </c>
      <c r="N92" s="7" t="n">
        <f aca="false">AVERAGE(D92:M92)</f>
        <v>-79.6</v>
      </c>
      <c r="O92" s="7" t="n">
        <f aca="false">STDEV(D92:M92)</f>
        <v>2.50333111406915</v>
      </c>
      <c r="P92" s="7" t="n">
        <f aca="false">MIN(D92:M92)</f>
        <v>-84</v>
      </c>
      <c r="Q92" s="7" t="n">
        <f aca="false">MAX(D92:M92)</f>
        <v>-76</v>
      </c>
    </row>
    <row r="93" customFormat="false" ht="26.85" hidden="false" customHeight="false" outlineLevel="0" collapsed="false">
      <c r="A93" s="6" t="s">
        <v>36</v>
      </c>
      <c r="B93" s="6" t="s">
        <v>39</v>
      </c>
      <c r="C93" s="6" t="n">
        <v>12</v>
      </c>
      <c r="D93" s="6" t="n">
        <v>-81</v>
      </c>
      <c r="E93" s="6" t="n">
        <v>-78</v>
      </c>
      <c r="F93" s="6" t="n">
        <v>-85</v>
      </c>
      <c r="G93" s="6" t="n">
        <v>-80</v>
      </c>
      <c r="H93" s="6" t="n">
        <v>-82</v>
      </c>
      <c r="I93" s="6" t="n">
        <v>-81</v>
      </c>
      <c r="J93" s="6" t="n">
        <v>-86</v>
      </c>
      <c r="K93" s="6" t="n">
        <v>-79</v>
      </c>
      <c r="L93" s="6" t="n">
        <v>-83</v>
      </c>
      <c r="M93" s="6" t="n">
        <v>-81</v>
      </c>
      <c r="N93" s="7" t="n">
        <f aca="false">AVERAGE(D93:M93)</f>
        <v>-81.6</v>
      </c>
      <c r="O93" s="7" t="n">
        <f aca="false">STDEV(D93:M93)</f>
        <v>2.50333111406915</v>
      </c>
      <c r="P93" s="7" t="n">
        <f aca="false">MIN(D93:M93)</f>
        <v>-86</v>
      </c>
      <c r="Q93" s="7" t="n">
        <f aca="false">MAX(D93:M93)</f>
        <v>-78</v>
      </c>
    </row>
    <row r="94" customFormat="false" ht="26.85" hidden="false" customHeight="false" outlineLevel="0" collapsed="false">
      <c r="A94" s="6" t="s">
        <v>36</v>
      </c>
      <c r="B94" s="6" t="s">
        <v>39</v>
      </c>
      <c r="C94" s="6" t="n">
        <v>13</v>
      </c>
      <c r="D94" s="6" t="n">
        <v>-83</v>
      </c>
      <c r="E94" s="6" t="n">
        <v>-80</v>
      </c>
      <c r="F94" s="6" t="n">
        <v>-87</v>
      </c>
      <c r="G94" s="6" t="n">
        <v>-82</v>
      </c>
      <c r="H94" s="6" t="n">
        <v>-85</v>
      </c>
      <c r="I94" s="6" t="n">
        <v>-83</v>
      </c>
      <c r="J94" s="6" t="n">
        <v>-88</v>
      </c>
      <c r="K94" s="6" t="n">
        <v>-81</v>
      </c>
      <c r="L94" s="6" t="n">
        <v>-84</v>
      </c>
      <c r="M94" s="6" t="n">
        <v>-83</v>
      </c>
      <c r="N94" s="7" t="n">
        <f aca="false">AVERAGE(D94:M94)</f>
        <v>-83.6</v>
      </c>
      <c r="O94" s="7" t="n">
        <f aca="false">STDEV(D94:M94)</f>
        <v>2.50333111406915</v>
      </c>
      <c r="P94" s="7" t="n">
        <f aca="false">MIN(D94:M94)</f>
        <v>-88</v>
      </c>
      <c r="Q94" s="7" t="n">
        <f aca="false">MAX(D94:M94)</f>
        <v>-80</v>
      </c>
    </row>
    <row r="95" customFormat="false" ht="26.85" hidden="false" customHeight="false" outlineLevel="0" collapsed="false">
      <c r="A95" s="6" t="s">
        <v>36</v>
      </c>
      <c r="B95" s="6" t="s">
        <v>39</v>
      </c>
      <c r="C95" s="6" t="n">
        <v>14</v>
      </c>
      <c r="D95" s="6" t="n">
        <v>-84</v>
      </c>
      <c r="E95" s="6" t="n">
        <v>-81</v>
      </c>
      <c r="F95" s="6" t="n">
        <v>-88</v>
      </c>
      <c r="G95" s="6" t="n">
        <v>-83</v>
      </c>
      <c r="H95" s="6" t="n">
        <v>-85</v>
      </c>
      <c r="I95" s="6" t="n">
        <v>-84</v>
      </c>
      <c r="J95" s="6" t="n">
        <v>-89</v>
      </c>
      <c r="K95" s="6" t="n">
        <v>-82</v>
      </c>
      <c r="L95" s="6" t="n">
        <v>-86</v>
      </c>
      <c r="M95" s="6" t="n">
        <v>-84</v>
      </c>
      <c r="N95" s="7" t="n">
        <f aca="false">AVERAGE(D95:M95)</f>
        <v>-84.6</v>
      </c>
      <c r="O95" s="7" t="n">
        <f aca="false">STDEV(D95:M95)</f>
        <v>2.50333111406915</v>
      </c>
      <c r="P95" s="7" t="n">
        <f aca="false">MIN(D95:M95)</f>
        <v>-89</v>
      </c>
      <c r="Q95" s="7" t="n">
        <f aca="false">MAX(D95:M95)</f>
        <v>-81</v>
      </c>
    </row>
    <row r="96" customFormat="false" ht="26.85" hidden="false" customHeight="false" outlineLevel="0" collapsed="false">
      <c r="A96" s="6" t="s">
        <v>36</v>
      </c>
      <c r="B96" s="6" t="s">
        <v>39</v>
      </c>
      <c r="C96" s="6" t="n">
        <v>15</v>
      </c>
      <c r="D96" s="6" t="n">
        <v>-86</v>
      </c>
      <c r="E96" s="6" t="n">
        <v>-83</v>
      </c>
      <c r="F96" s="6" t="n">
        <v>-90</v>
      </c>
      <c r="G96" s="6" t="n">
        <v>-85</v>
      </c>
      <c r="H96" s="6" t="n">
        <v>-88</v>
      </c>
      <c r="I96" s="6" t="n">
        <v>-86</v>
      </c>
      <c r="J96" s="6" t="n">
        <v>-91</v>
      </c>
      <c r="K96" s="6" t="n">
        <v>-84</v>
      </c>
      <c r="L96" s="6" t="n">
        <v>-87</v>
      </c>
      <c r="M96" s="6" t="n">
        <v>-86</v>
      </c>
      <c r="N96" s="7" t="n">
        <f aca="false">AVERAGE(D96:M96)</f>
        <v>-86.6</v>
      </c>
      <c r="O96" s="7" t="n">
        <f aca="false">STDEV(D96:M96)</f>
        <v>2.50333111406915</v>
      </c>
      <c r="P96" s="7" t="n">
        <f aca="false">MIN(D96:M96)</f>
        <v>-91</v>
      </c>
      <c r="Q96" s="7" t="n">
        <f aca="false">MAX(D96:M96)</f>
        <v>-83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8" min="7" style="0" width="26"/>
  </cols>
  <sheetData>
    <row r="1" customFormat="false" ht="26.85" hidden="false" customHeight="false" outlineLevel="0" collapsed="false">
      <c r="A1" s="5" t="s">
        <v>17</v>
      </c>
      <c r="B1" s="5" t="s">
        <v>41</v>
      </c>
      <c r="C1" s="5" t="s">
        <v>42</v>
      </c>
      <c r="D1" s="5" t="s">
        <v>43</v>
      </c>
      <c r="E1" s="5" t="s">
        <v>44</v>
      </c>
      <c r="F1" s="5" t="s">
        <v>45</v>
      </c>
      <c r="G1" s="5" t="s">
        <v>46</v>
      </c>
      <c r="H1" s="5" t="s">
        <v>47</v>
      </c>
    </row>
    <row r="2" customFormat="false" ht="15" hidden="false" customHeight="false" outlineLevel="0" collapsed="false">
      <c r="A2" s="8" t="str">
        <f aca="false">RSSI_Samples!A2</f>
        <v>C102</v>
      </c>
      <c r="B2" s="8" t="n">
        <f aca="false">RSSI_Samples!B2</f>
        <v>1</v>
      </c>
      <c r="C2" s="7" t="n">
        <f aca="false">LOG10(B2)</f>
        <v>0</v>
      </c>
      <c r="D2" s="7" t="n">
        <f aca="false">RSSI_Samples!N2</f>
        <v>-48.023</v>
      </c>
      <c r="E2" s="8" t="n">
        <f aca="false">RSSI_Samples!B2</f>
        <v>1</v>
      </c>
      <c r="F2" s="7" t="n">
        <f aca="false">RSSI_Samples!N2</f>
        <v>-48.023</v>
      </c>
      <c r="G2" s="7" t="n">
        <f aca="false">F2-20*(LOG10(B2)-LOG10(E2))</f>
        <v>-48.023</v>
      </c>
      <c r="H2" s="7" t="n">
        <f aca="false">D2-G2</f>
        <v>0</v>
      </c>
    </row>
    <row r="3" customFormat="false" ht="15" hidden="false" customHeight="false" outlineLevel="0" collapsed="false">
      <c r="A3" s="8" t="str">
        <f aca="false">RSSI_Samples!A3</f>
        <v>C102</v>
      </c>
      <c r="B3" s="8" t="n">
        <f aca="false">RSSI_Samples!B3</f>
        <v>2</v>
      </c>
      <c r="C3" s="7" t="n">
        <f aca="false">LOG10(B3)</f>
        <v>0.301029995663981</v>
      </c>
      <c r="D3" s="7" t="n">
        <f aca="false">RSSI_Samples!N3</f>
        <v>-52.049</v>
      </c>
      <c r="E3" s="8" t="n">
        <f aca="false">RSSI_Samples!B2</f>
        <v>1</v>
      </c>
      <c r="F3" s="7" t="n">
        <f aca="false">RSSI_Samples!N2</f>
        <v>-48.023</v>
      </c>
      <c r="G3" s="7" t="n">
        <f aca="false">F3-20*(LOG10(B3)-LOG10(E3))</f>
        <v>-54.0435999132796</v>
      </c>
      <c r="H3" s="7" t="n">
        <f aca="false">D3-G3</f>
        <v>1.99459991327963</v>
      </c>
    </row>
    <row r="4" customFormat="false" ht="15" hidden="false" customHeight="false" outlineLevel="0" collapsed="false">
      <c r="A4" s="8" t="str">
        <f aca="false">RSSI_Samples!A4</f>
        <v>C102</v>
      </c>
      <c r="B4" s="8" t="n">
        <f aca="false">RSSI_Samples!B4</f>
        <v>3</v>
      </c>
      <c r="C4" s="7" t="n">
        <f aca="false">LOG10(B4)</f>
        <v>0.477121254719662</v>
      </c>
      <c r="D4" s="7" t="n">
        <f aca="false">RSSI_Samples!N4</f>
        <v>-60.059</v>
      </c>
      <c r="E4" s="8" t="n">
        <f aca="false">RSSI_Samples!B2</f>
        <v>1</v>
      </c>
      <c r="F4" s="7" t="n">
        <f aca="false">RSSI_Samples!N2</f>
        <v>-48.023</v>
      </c>
      <c r="G4" s="7" t="n">
        <f aca="false">F4-20*(LOG10(B4)-LOG10(E4))</f>
        <v>-57.5654250943933</v>
      </c>
      <c r="H4" s="7" t="n">
        <f aca="false">D4-G4</f>
        <v>-2.49357490560676</v>
      </c>
    </row>
    <row r="5" customFormat="false" ht="15" hidden="false" customHeight="false" outlineLevel="0" collapsed="false">
      <c r="A5" s="8" t="str">
        <f aca="false">RSSI_Samples!A5</f>
        <v>C102</v>
      </c>
      <c r="B5" s="8" t="n">
        <f aca="false">RSSI_Samples!B5</f>
        <v>4</v>
      </c>
      <c r="C5" s="7" t="n">
        <f aca="false">LOG10(B5)</f>
        <v>0.602059991327962</v>
      </c>
      <c r="D5" s="7" t="n">
        <f aca="false">RSSI_Samples!N5</f>
        <v>-66.019</v>
      </c>
      <c r="E5" s="8" t="n">
        <f aca="false">RSSI_Samples!B2</f>
        <v>1</v>
      </c>
      <c r="F5" s="7" t="n">
        <f aca="false">RSSI_Samples!N2</f>
        <v>-48.023</v>
      </c>
      <c r="G5" s="7" t="n">
        <f aca="false">F5-20*(LOG10(B5)-LOG10(E5))</f>
        <v>-60.0641998265593</v>
      </c>
      <c r="H5" s="7" t="n">
        <f aca="false">D5-G5</f>
        <v>-5.95480017344074</v>
      </c>
    </row>
    <row r="6" customFormat="false" ht="15" hidden="false" customHeight="false" outlineLevel="0" collapsed="false">
      <c r="A6" s="8" t="str">
        <f aca="false">RSSI_Samples!A6</f>
        <v>C102</v>
      </c>
      <c r="B6" s="8" t="n">
        <f aca="false">RSSI_Samples!B6</f>
        <v>5</v>
      </c>
      <c r="C6" s="7" t="n">
        <f aca="false">LOG10(B6)</f>
        <v>0.698970004336019</v>
      </c>
      <c r="D6" s="7" t="n">
        <f aca="false">RSSI_Samples!N6</f>
        <v>-68.018</v>
      </c>
      <c r="E6" s="8" t="n">
        <f aca="false">RSSI_Samples!B2</f>
        <v>1</v>
      </c>
      <c r="F6" s="7" t="n">
        <f aca="false">RSSI_Samples!N2</f>
        <v>-48.023</v>
      </c>
      <c r="G6" s="7" t="n">
        <f aca="false">F6-20*(LOG10(B6)-LOG10(E6))</f>
        <v>-62.0024000867204</v>
      </c>
      <c r="H6" s="7" t="n">
        <f aca="false">D6-G6</f>
        <v>-6.01559991327962</v>
      </c>
    </row>
    <row r="7" customFormat="false" ht="15" hidden="false" customHeight="false" outlineLevel="0" collapsed="false">
      <c r="A7" s="8" t="str">
        <f aca="false">RSSI_Samples!A7</f>
        <v>C102</v>
      </c>
      <c r="B7" s="8" t="n">
        <f aca="false">RSSI_Samples!B7</f>
        <v>6</v>
      </c>
      <c r="C7" s="7" t="n">
        <f aca="false">LOG10(B7)</f>
        <v>0.778151250383644</v>
      </c>
      <c r="D7" s="7" t="n">
        <f aca="false">RSSI_Samples!N7</f>
        <v>-69.998</v>
      </c>
      <c r="E7" s="8" t="n">
        <f aca="false">RSSI_Samples!B2</f>
        <v>1</v>
      </c>
      <c r="F7" s="7" t="n">
        <f aca="false">RSSI_Samples!N2</f>
        <v>-48.023</v>
      </c>
      <c r="G7" s="7" t="n">
        <f aca="false">F7-20*(LOG10(B7)-LOG10(E7))</f>
        <v>-63.5860250076729</v>
      </c>
      <c r="H7" s="7" t="n">
        <f aca="false">D7-G7</f>
        <v>-6.41197499232713</v>
      </c>
    </row>
    <row r="8" customFormat="false" ht="15" hidden="false" customHeight="false" outlineLevel="0" collapsed="false">
      <c r="A8" s="8" t="str">
        <f aca="false">RSSI_Samples!A8</f>
        <v>C102</v>
      </c>
      <c r="B8" s="8" t="n">
        <f aca="false">RSSI_Samples!B8</f>
        <v>7</v>
      </c>
      <c r="C8" s="7" t="n">
        <f aca="false">LOG10(B8)</f>
        <v>0.845098040014257</v>
      </c>
      <c r="D8" s="7" t="n">
        <f aca="false">RSSI_Samples!N8</f>
        <v>-72.013</v>
      </c>
      <c r="E8" s="8" t="n">
        <f aca="false">RSSI_Samples!B2</f>
        <v>1</v>
      </c>
      <c r="F8" s="7" t="n">
        <f aca="false">RSSI_Samples!N2</f>
        <v>-48.023</v>
      </c>
      <c r="G8" s="7" t="n">
        <f aca="false">F8-20*(LOG10(B8)-LOG10(E8))</f>
        <v>-64.9249608002851</v>
      </c>
      <c r="H8" s="7" t="n">
        <f aca="false">D8-G8</f>
        <v>-7.08803919971487</v>
      </c>
    </row>
    <row r="9" customFormat="false" ht="15" hidden="false" customHeight="false" outlineLevel="0" collapsed="false">
      <c r="A9" s="8" t="str">
        <f aca="false">RSSI_Samples!A9</f>
        <v>C102</v>
      </c>
      <c r="B9" s="8" t="n">
        <f aca="false">RSSI_Samples!B9</f>
        <v>8</v>
      </c>
      <c r="C9" s="7" t="n">
        <f aca="false">LOG10(B9)</f>
        <v>0.903089986991944</v>
      </c>
      <c r="D9" s="7" t="n">
        <f aca="false">RSSI_Samples!N9</f>
        <v>-65.996</v>
      </c>
      <c r="E9" s="8" t="n">
        <f aca="false">RSSI_Samples!B2</f>
        <v>1</v>
      </c>
      <c r="F9" s="7" t="n">
        <f aca="false">RSSI_Samples!N2</f>
        <v>-48.023</v>
      </c>
      <c r="G9" s="7" t="n">
        <f aca="false">F9-20*(LOG10(B9)-LOG10(E9))</f>
        <v>-66.0847997398389</v>
      </c>
      <c r="H9" s="7" t="n">
        <f aca="false">D9-G9</f>
        <v>0.088799739838862</v>
      </c>
    </row>
    <row r="10" customFormat="false" ht="15" hidden="false" customHeight="false" outlineLevel="0" collapsed="false">
      <c r="A10" s="8" t="str">
        <f aca="false">RSSI_Samples!A10</f>
        <v>C102</v>
      </c>
      <c r="B10" s="8" t="n">
        <f aca="false">RSSI_Samples!B10</f>
        <v>9</v>
      </c>
      <c r="C10" s="7" t="n">
        <f aca="false">LOG10(B10)</f>
        <v>0.954242509439325</v>
      </c>
      <c r="D10" s="7" t="n">
        <f aca="false">RSSI_Samples!N10</f>
        <v>-61.017</v>
      </c>
      <c r="E10" s="8" t="n">
        <f aca="false">RSSI_Samples!B2</f>
        <v>1</v>
      </c>
      <c r="F10" s="7" t="n">
        <f aca="false">RSSI_Samples!N2</f>
        <v>-48.023</v>
      </c>
      <c r="G10" s="7" t="n">
        <f aca="false">F10-20*(LOG10(B10)-LOG10(E10))</f>
        <v>-67.1078501887865</v>
      </c>
      <c r="H10" s="7" t="n">
        <f aca="false">D10-G10</f>
        <v>6.0908501887865</v>
      </c>
    </row>
    <row r="11" customFormat="false" ht="15" hidden="false" customHeight="false" outlineLevel="0" collapsed="false">
      <c r="A11" s="8" t="str">
        <f aca="false">RSSI_Samples!A11</f>
        <v>C102</v>
      </c>
      <c r="B11" s="8" t="n">
        <f aca="false">RSSI_Samples!B11</f>
        <v>10</v>
      </c>
      <c r="C11" s="7" t="n">
        <f aca="false">LOG10(B11)</f>
        <v>1</v>
      </c>
      <c r="D11" s="7" t="n">
        <f aca="false">RSSI_Samples!N11</f>
        <v>-53.007</v>
      </c>
      <c r="E11" s="8" t="n">
        <f aca="false">RSSI_Samples!B2</f>
        <v>1</v>
      </c>
      <c r="F11" s="7" t="n">
        <f aca="false">RSSI_Samples!N2</f>
        <v>-48.023</v>
      </c>
      <c r="G11" s="7" t="n">
        <f aca="false">F11-20*(LOG10(B11)-LOG10(E11))</f>
        <v>-68.023</v>
      </c>
      <c r="H11" s="7" t="n">
        <f aca="false">D11-G11</f>
        <v>15.016</v>
      </c>
    </row>
    <row r="12" customFormat="false" ht="15" hidden="false" customHeight="false" outlineLevel="0" collapsed="false">
      <c r="A12" s="8" t="str">
        <f aca="false">RSSI_Samples!A12</f>
        <v>C102</v>
      </c>
      <c r="B12" s="8" t="n">
        <f aca="false">RSSI_Samples!B12</f>
        <v>11</v>
      </c>
      <c r="C12" s="7" t="n">
        <f aca="false">LOG10(B12)</f>
        <v>1.04139268515823</v>
      </c>
      <c r="D12" s="7" t="n">
        <f aca="false">RSSI_Samples!N12</f>
        <v>-62.029</v>
      </c>
      <c r="E12" s="8" t="n">
        <f aca="false">RSSI_Samples!B2</f>
        <v>1</v>
      </c>
      <c r="F12" s="7" t="n">
        <f aca="false">RSSI_Samples!N2</f>
        <v>-48.023</v>
      </c>
      <c r="G12" s="7" t="n">
        <f aca="false">F12-20*(LOG10(B12)-LOG10(E12))</f>
        <v>-68.8508537031645</v>
      </c>
      <c r="H12" s="7" t="n">
        <f aca="false">D12-G12</f>
        <v>6.82185370316451</v>
      </c>
    </row>
    <row r="13" customFormat="false" ht="15" hidden="false" customHeight="false" outlineLevel="0" collapsed="false">
      <c r="A13" s="8" t="str">
        <f aca="false">RSSI_Samples!A13</f>
        <v>C102</v>
      </c>
      <c r="B13" s="8" t="n">
        <f aca="false">RSSI_Samples!B13</f>
        <v>12</v>
      </c>
      <c r="C13" s="7" t="n">
        <f aca="false">LOG10(B13)</f>
        <v>1.07918124604762</v>
      </c>
      <c r="D13" s="7" t="n">
        <f aca="false">RSSI_Samples!N13</f>
        <v>-69.017</v>
      </c>
      <c r="E13" s="8" t="n">
        <f aca="false">RSSI_Samples!B2</f>
        <v>1</v>
      </c>
      <c r="F13" s="7" t="n">
        <f aca="false">RSSI_Samples!N2</f>
        <v>-48.023</v>
      </c>
      <c r="G13" s="7" t="n">
        <f aca="false">F13-20*(LOG10(B13)-LOG10(E13))</f>
        <v>-69.6066249209525</v>
      </c>
      <c r="H13" s="7" t="n">
        <f aca="false">D13-G13</f>
        <v>0.589624920952502</v>
      </c>
    </row>
    <row r="14" customFormat="false" ht="15" hidden="false" customHeight="false" outlineLevel="0" collapsed="false">
      <c r="A14" s="8" t="str">
        <f aca="false">RSSI_Samples!A14</f>
        <v>C102</v>
      </c>
      <c r="B14" s="8" t="n">
        <f aca="false">RSSI_Samples!B14</f>
        <v>13</v>
      </c>
      <c r="C14" s="7" t="n">
        <f aca="false">LOG10(B14)</f>
        <v>1.11394335230684</v>
      </c>
      <c r="D14" s="7" t="n">
        <f aca="false">RSSI_Samples!N14</f>
        <v>-64.021</v>
      </c>
      <c r="E14" s="8" t="n">
        <f aca="false">RSSI_Samples!B2</f>
        <v>1</v>
      </c>
      <c r="F14" s="7" t="n">
        <f aca="false">RSSI_Samples!N2</f>
        <v>-48.023</v>
      </c>
      <c r="G14" s="7" t="n">
        <f aca="false">F14-20*(LOG10(B14)-LOG10(E14))</f>
        <v>-70.3018670461367</v>
      </c>
      <c r="H14" s="7" t="n">
        <f aca="false">D14-G14</f>
        <v>6.28086704613673</v>
      </c>
    </row>
    <row r="15" customFormat="false" ht="15" hidden="false" customHeight="false" outlineLevel="0" collapsed="false">
      <c r="A15" s="8" t="str">
        <f aca="false">RSSI_Samples!A15</f>
        <v>C102</v>
      </c>
      <c r="B15" s="8" t="n">
        <f aca="false">RSSI_Samples!B15</f>
        <v>14</v>
      </c>
      <c r="C15" s="7" t="n">
        <f aca="false">LOG10(B15)</f>
        <v>1.14612803567824</v>
      </c>
      <c r="D15" s="7" t="n">
        <f aca="false">RSSI_Samples!N15</f>
        <v>-65.018</v>
      </c>
      <c r="E15" s="8" t="n">
        <f aca="false">RSSI_Samples!B2</f>
        <v>1</v>
      </c>
      <c r="F15" s="7" t="n">
        <f aca="false">RSSI_Samples!N2</f>
        <v>-48.023</v>
      </c>
      <c r="G15" s="7" t="n">
        <f aca="false">F15-20*(LOG10(B15)-LOG10(E15))</f>
        <v>-70.9455607135648</v>
      </c>
      <c r="H15" s="7" t="n">
        <f aca="false">D15-G15</f>
        <v>5.92756071356476</v>
      </c>
    </row>
    <row r="16" customFormat="false" ht="15" hidden="false" customHeight="false" outlineLevel="0" collapsed="false">
      <c r="A16" s="8" t="str">
        <f aca="false">RSSI_Samples!A16</f>
        <v>C102</v>
      </c>
      <c r="B16" s="8" t="n">
        <f aca="false">RSSI_Samples!B16</f>
        <v>15</v>
      </c>
      <c r="C16" s="7" t="n">
        <f aca="false">LOG10(B16)</f>
        <v>1.17609125905568</v>
      </c>
      <c r="D16" s="7" t="n">
        <f aca="false">RSSI_Samples!N16</f>
        <v>-74.023</v>
      </c>
      <c r="E16" s="8" t="n">
        <f aca="false">RSSI_Samples!B2</f>
        <v>1</v>
      </c>
      <c r="F16" s="7" t="n">
        <f aca="false">RSSI_Samples!N2</f>
        <v>-48.023</v>
      </c>
      <c r="G16" s="7" t="n">
        <f aca="false">F16-20*(LOG10(B16)-LOG10(E16))</f>
        <v>-71.5448251811136</v>
      </c>
      <c r="H16" s="7" t="n">
        <f aca="false">D16-G16</f>
        <v>-2.47817481888637</v>
      </c>
    </row>
    <row r="18" customFormat="false" ht="15" hidden="false" customHeight="false" outlineLevel="0" collapsed="false">
      <c r="A18" s="8" t="str">
        <f aca="false">RSSI_Samples!A18</f>
        <v>C103</v>
      </c>
      <c r="B18" s="8" t="n">
        <f aca="false">RSSI_Samples!B18</f>
        <v>2</v>
      </c>
      <c r="C18" s="7" t="n">
        <f aca="false">LOG10(B18)</f>
        <v>0.301029995663981</v>
      </c>
      <c r="D18" s="7" t="n">
        <f aca="false">RSSI_Samples!N18</f>
        <v>-67.019</v>
      </c>
      <c r="E18" s="8" t="n">
        <f aca="false">RSSI_Samples!B18</f>
        <v>2</v>
      </c>
      <c r="F18" s="7" t="n">
        <f aca="false">RSSI_Samples!N18</f>
        <v>-67.019</v>
      </c>
      <c r="G18" s="7" t="n">
        <f aca="false">F18-20*(LOG10(B18)-LOG10(E18))</f>
        <v>-67.019</v>
      </c>
      <c r="H18" s="7" t="n">
        <f aca="false">D18-G18</f>
        <v>0</v>
      </c>
    </row>
    <row r="19" customFormat="false" ht="15" hidden="false" customHeight="false" outlineLevel="0" collapsed="false">
      <c r="A19" s="8" t="str">
        <f aca="false">RSSI_Samples!A19</f>
        <v>C103</v>
      </c>
      <c r="B19" s="8" t="n">
        <f aca="false">RSSI_Samples!B19</f>
        <v>3</v>
      </c>
      <c r="C19" s="7" t="n">
        <f aca="false">LOG10(B19)</f>
        <v>0.477121254719662</v>
      </c>
      <c r="D19" s="7" t="n">
        <f aca="false">RSSI_Samples!N19</f>
        <v>-58.02</v>
      </c>
      <c r="E19" s="8" t="n">
        <f aca="false">RSSI_Samples!B18</f>
        <v>2</v>
      </c>
      <c r="F19" s="7" t="n">
        <f aca="false">RSSI_Samples!N18</f>
        <v>-67.019</v>
      </c>
      <c r="G19" s="7" t="n">
        <f aca="false">F19-20*(LOG10(B19)-LOG10(E19))</f>
        <v>-70.5408251811136</v>
      </c>
      <c r="H19" s="7" t="n">
        <f aca="false">D19-G19</f>
        <v>12.5208251811136</v>
      </c>
    </row>
    <row r="20" customFormat="false" ht="15" hidden="false" customHeight="false" outlineLevel="0" collapsed="false">
      <c r="A20" s="8" t="str">
        <f aca="false">RSSI_Samples!A20</f>
        <v>C103</v>
      </c>
      <c r="B20" s="8" t="n">
        <f aca="false">RSSI_Samples!B20</f>
        <v>4</v>
      </c>
      <c r="C20" s="7" t="n">
        <f aca="false">LOG10(B20)</f>
        <v>0.602059991327962</v>
      </c>
      <c r="D20" s="7" t="n">
        <f aca="false">RSSI_Samples!N20</f>
        <v>-59.021</v>
      </c>
      <c r="E20" s="8" t="n">
        <f aca="false">RSSI_Samples!B18</f>
        <v>2</v>
      </c>
      <c r="F20" s="7" t="n">
        <f aca="false">RSSI_Samples!N18</f>
        <v>-67.019</v>
      </c>
      <c r="G20" s="7" t="n">
        <f aca="false">F20-20*(LOG10(B20)-LOG10(E20))</f>
        <v>-73.0395999132796</v>
      </c>
      <c r="H20" s="7" t="n">
        <f aca="false">D20-G20</f>
        <v>14.0185999132796</v>
      </c>
    </row>
    <row r="21" customFormat="false" ht="15" hidden="false" customHeight="false" outlineLevel="0" collapsed="false">
      <c r="A21" s="8" t="str">
        <f aca="false">RSSI_Samples!A21</f>
        <v>C103</v>
      </c>
      <c r="B21" s="8" t="n">
        <f aca="false">RSSI_Samples!B21</f>
        <v>5</v>
      </c>
      <c r="C21" s="7" t="n">
        <f aca="false">LOG10(B21)</f>
        <v>0.698970004336019</v>
      </c>
      <c r="D21" s="7" t="n">
        <f aca="false">RSSI_Samples!N21</f>
        <v>-57.017</v>
      </c>
      <c r="E21" s="8" t="n">
        <f aca="false">RSSI_Samples!B18</f>
        <v>2</v>
      </c>
      <c r="F21" s="7" t="n">
        <f aca="false">RSSI_Samples!N18</f>
        <v>-67.019</v>
      </c>
      <c r="G21" s="7" t="n">
        <f aca="false">F21-20*(LOG10(B21)-LOG10(E21))</f>
        <v>-74.9778001734408</v>
      </c>
      <c r="H21" s="7" t="n">
        <f aca="false">D21-G21</f>
        <v>17.9608001734408</v>
      </c>
    </row>
    <row r="22" customFormat="false" ht="15" hidden="false" customHeight="false" outlineLevel="0" collapsed="false">
      <c r="A22" s="8" t="str">
        <f aca="false">RSSI_Samples!A22</f>
        <v>C103</v>
      </c>
      <c r="B22" s="8" t="n">
        <f aca="false">RSSI_Samples!B22</f>
        <v>6</v>
      </c>
      <c r="C22" s="7" t="n">
        <f aca="false">LOG10(B22)</f>
        <v>0.778151250383644</v>
      </c>
      <c r="D22" s="7" t="n">
        <f aca="false">RSSI_Samples!N22</f>
        <v>-62.019</v>
      </c>
      <c r="E22" s="8" t="n">
        <f aca="false">RSSI_Samples!B18</f>
        <v>2</v>
      </c>
      <c r="F22" s="7" t="n">
        <f aca="false">RSSI_Samples!N18</f>
        <v>-67.019</v>
      </c>
      <c r="G22" s="7" t="n">
        <f aca="false">F22-20*(LOG10(B22)-LOG10(E22))</f>
        <v>-76.5614250943933</v>
      </c>
      <c r="H22" s="7" t="n">
        <f aca="false">D22-G22</f>
        <v>14.5424250943933</v>
      </c>
    </row>
    <row r="23" customFormat="false" ht="15" hidden="false" customHeight="false" outlineLevel="0" collapsed="false">
      <c r="A23" s="8" t="str">
        <f aca="false">RSSI_Samples!A23</f>
        <v>C103</v>
      </c>
      <c r="B23" s="8" t="n">
        <f aca="false">RSSI_Samples!B23</f>
        <v>7</v>
      </c>
      <c r="C23" s="7" t="n">
        <f aca="false">LOG10(B23)</f>
        <v>0.845098040014257</v>
      </c>
      <c r="D23" s="7" t="n">
        <f aca="false">RSSI_Samples!N23</f>
        <v>-56.017</v>
      </c>
      <c r="E23" s="8" t="n">
        <f aca="false">RSSI_Samples!B18</f>
        <v>2</v>
      </c>
      <c r="F23" s="7" t="n">
        <f aca="false">RSSI_Samples!N18</f>
        <v>-67.019</v>
      </c>
      <c r="G23" s="7" t="n">
        <f aca="false">F23-20*(LOG10(B23)-LOG10(E23))</f>
        <v>-77.9003608870055</v>
      </c>
      <c r="H23" s="7" t="n">
        <f aca="false">D23-G23</f>
        <v>21.8833608870055</v>
      </c>
    </row>
    <row r="24" customFormat="false" ht="15" hidden="false" customHeight="false" outlineLevel="0" collapsed="false">
      <c r="A24" s="8" t="str">
        <f aca="false">RSSI_Samples!A24</f>
        <v>C103</v>
      </c>
      <c r="B24" s="8" t="n">
        <f aca="false">RSSI_Samples!B24</f>
        <v>8</v>
      </c>
      <c r="C24" s="7" t="n">
        <f aca="false">LOG10(B24)</f>
        <v>0.903089986991944</v>
      </c>
      <c r="D24" s="7" t="n">
        <f aca="false">RSSI_Samples!N24</f>
        <v>-64.021</v>
      </c>
      <c r="E24" s="8" t="n">
        <f aca="false">RSSI_Samples!B18</f>
        <v>2</v>
      </c>
      <c r="F24" s="7" t="n">
        <f aca="false">RSSI_Samples!N18</f>
        <v>-67.019</v>
      </c>
      <c r="G24" s="7" t="n">
        <f aca="false">F24-20*(LOG10(B24)-LOG10(E24))</f>
        <v>-79.0601998265593</v>
      </c>
      <c r="H24" s="7" t="n">
        <f aca="false">D24-G24</f>
        <v>15.0391998265593</v>
      </c>
    </row>
    <row r="25" customFormat="false" ht="15" hidden="false" customHeight="false" outlineLevel="0" collapsed="false">
      <c r="A25" s="8" t="str">
        <f aca="false">RSSI_Samples!A25</f>
        <v>C103</v>
      </c>
      <c r="B25" s="8" t="n">
        <f aca="false">RSSI_Samples!B25</f>
        <v>9</v>
      </c>
      <c r="C25" s="7" t="n">
        <f aca="false">LOG10(B25)</f>
        <v>0.954242509439325</v>
      </c>
      <c r="D25" s="7" t="n">
        <f aca="false">RSSI_Samples!N25</f>
        <v>-47.017</v>
      </c>
      <c r="E25" s="8" t="n">
        <f aca="false">RSSI_Samples!B18</f>
        <v>2</v>
      </c>
      <c r="F25" s="7" t="n">
        <f aca="false">RSSI_Samples!N18</f>
        <v>-67.019</v>
      </c>
      <c r="G25" s="7" t="n">
        <f aca="false">F25-20*(LOG10(B25)-LOG10(E25))</f>
        <v>-80.0832502755069</v>
      </c>
      <c r="H25" s="7" t="n">
        <f aca="false">D25-G25</f>
        <v>33.0662502755069</v>
      </c>
    </row>
    <row r="26" customFormat="false" ht="15" hidden="false" customHeight="false" outlineLevel="0" collapsed="false">
      <c r="A26" s="8" t="str">
        <f aca="false">RSSI_Samples!A26</f>
        <v>C103</v>
      </c>
      <c r="B26" s="8" t="n">
        <f aca="false">RSSI_Samples!B26</f>
        <v>10</v>
      </c>
      <c r="C26" s="7" t="n">
        <f aca="false">LOG10(B26)</f>
        <v>1</v>
      </c>
      <c r="D26" s="7" t="n">
        <f aca="false">RSSI_Samples!N26</f>
        <v>-66.019</v>
      </c>
      <c r="E26" s="8" t="n">
        <f aca="false">RSSI_Samples!B18</f>
        <v>2</v>
      </c>
      <c r="F26" s="7" t="n">
        <f aca="false">RSSI_Samples!N18</f>
        <v>-67.019</v>
      </c>
      <c r="G26" s="7" t="n">
        <f aca="false">F26-20*(LOG10(B26)-LOG10(E26))</f>
        <v>-80.9984000867204</v>
      </c>
      <c r="H26" s="7" t="n">
        <f aca="false">D26-G26</f>
        <v>14.9794000867204</v>
      </c>
    </row>
    <row r="27" customFormat="false" ht="15" hidden="false" customHeight="false" outlineLevel="0" collapsed="false">
      <c r="A27" s="8" t="str">
        <f aca="false">RSSI_Samples!A27</f>
        <v>C103</v>
      </c>
      <c r="B27" s="8" t="n">
        <f aca="false">RSSI_Samples!B27</f>
        <v>11</v>
      </c>
      <c r="C27" s="7" t="n">
        <f aca="false">LOG10(B27)</f>
        <v>1.04139268515823</v>
      </c>
      <c r="D27" s="7" t="n">
        <f aca="false">RSSI_Samples!N27</f>
        <v>-70.017</v>
      </c>
      <c r="E27" s="8" t="n">
        <f aca="false">RSSI_Samples!B18</f>
        <v>2</v>
      </c>
      <c r="F27" s="7" t="n">
        <f aca="false">RSSI_Samples!N18</f>
        <v>-67.019</v>
      </c>
      <c r="G27" s="7" t="n">
        <f aca="false">F27-20*(LOG10(B27)-LOG10(E27))</f>
        <v>-81.8262537898849</v>
      </c>
      <c r="H27" s="7" t="n">
        <f aca="false">D27-G27</f>
        <v>11.8092537898849</v>
      </c>
    </row>
    <row r="28" customFormat="false" ht="15" hidden="false" customHeight="false" outlineLevel="0" collapsed="false">
      <c r="A28" s="8" t="str">
        <f aca="false">RSSI_Samples!A28</f>
        <v>C103</v>
      </c>
      <c r="B28" s="8" t="n">
        <f aca="false">RSSI_Samples!B28</f>
        <v>12</v>
      </c>
      <c r="C28" s="7" t="n">
        <f aca="false">LOG10(B28)</f>
        <v>1.07918124604762</v>
      </c>
      <c r="D28" s="7" t="n">
        <f aca="false">RSSI_Samples!N28</f>
        <v>-74.021</v>
      </c>
      <c r="E28" s="8" t="n">
        <f aca="false">RSSI_Samples!B18</f>
        <v>2</v>
      </c>
      <c r="F28" s="7" t="n">
        <f aca="false">RSSI_Samples!N18</f>
        <v>-67.019</v>
      </c>
      <c r="G28" s="7" t="n">
        <f aca="false">F28-20*(LOG10(B28)-LOG10(E28))</f>
        <v>-82.5820250076729</v>
      </c>
      <c r="H28" s="7" t="n">
        <f aca="false">D28-G28</f>
        <v>8.56102500767288</v>
      </c>
    </row>
    <row r="29" customFormat="false" ht="15" hidden="false" customHeight="false" outlineLevel="0" collapsed="false">
      <c r="A29" s="8" t="str">
        <f aca="false">RSSI_Samples!A29</f>
        <v>C103</v>
      </c>
      <c r="B29" s="8" t="n">
        <f aca="false">RSSI_Samples!B29</f>
        <v>13</v>
      </c>
      <c r="C29" s="7" t="n">
        <f aca="false">LOG10(B29)</f>
        <v>1.11394335230684</v>
      </c>
      <c r="D29" s="7" t="n">
        <f aca="false">RSSI_Samples!N29</f>
        <v>-70.017</v>
      </c>
      <c r="E29" s="8" t="n">
        <f aca="false">RSSI_Samples!B18</f>
        <v>2</v>
      </c>
      <c r="F29" s="7" t="n">
        <f aca="false">RSSI_Samples!N18</f>
        <v>-67.019</v>
      </c>
      <c r="G29" s="7" t="n">
        <f aca="false">F29-20*(LOG10(B29)-LOG10(E29))</f>
        <v>-83.2772671328571</v>
      </c>
      <c r="H29" s="7" t="n">
        <f aca="false">D29-G29</f>
        <v>13.2602671328571</v>
      </c>
    </row>
    <row r="30" customFormat="false" ht="15" hidden="false" customHeight="false" outlineLevel="0" collapsed="false">
      <c r="A30" s="8" t="str">
        <f aca="false">RSSI_Samples!A30</f>
        <v>C103</v>
      </c>
      <c r="B30" s="8" t="n">
        <f aca="false">RSSI_Samples!B30</f>
        <v>14</v>
      </c>
      <c r="C30" s="7" t="n">
        <f aca="false">LOG10(B30)</f>
        <v>1.14612803567824</v>
      </c>
      <c r="D30" s="7" t="n">
        <f aca="false">RSSI_Samples!N30</f>
        <v>-64.019</v>
      </c>
      <c r="E30" s="8" t="n">
        <f aca="false">RSSI_Samples!B18</f>
        <v>2</v>
      </c>
      <c r="F30" s="7" t="n">
        <f aca="false">RSSI_Samples!N18</f>
        <v>-67.019</v>
      </c>
      <c r="G30" s="7" t="n">
        <f aca="false">F30-20*(LOG10(B30)-LOG10(E30))</f>
        <v>-83.9209608002851</v>
      </c>
      <c r="H30" s="7" t="n">
        <f aca="false">D30-G30</f>
        <v>19.9019608002851</v>
      </c>
    </row>
    <row r="31" customFormat="false" ht="15" hidden="false" customHeight="false" outlineLevel="0" collapsed="false">
      <c r="A31" s="8" t="str">
        <f aca="false">RSSI_Samples!A31</f>
        <v>C103</v>
      </c>
      <c r="B31" s="8" t="n">
        <f aca="false">RSSI_Samples!B31</f>
        <v>15</v>
      </c>
      <c r="C31" s="7" t="n">
        <f aca="false">LOG10(B31)</f>
        <v>1.17609125905568</v>
      </c>
      <c r="D31" s="7" t="n">
        <f aca="false">RSSI_Samples!N31</f>
        <v>-70.017</v>
      </c>
      <c r="E31" s="8" t="n">
        <f aca="false">RSSI_Samples!B18</f>
        <v>2</v>
      </c>
      <c r="F31" s="7" t="n">
        <f aca="false">RSSI_Samples!N18</f>
        <v>-67.019</v>
      </c>
      <c r="G31" s="7" t="n">
        <f aca="false">F31-20*(LOG10(B31)-LOG10(E31))</f>
        <v>-84.520225267834</v>
      </c>
      <c r="H31" s="7" t="n">
        <f aca="false">D31-G31</f>
        <v>14.503225267834</v>
      </c>
    </row>
    <row r="32" customFormat="false" ht="15" hidden="false" customHeight="false" outlineLevel="0" collapsed="false">
      <c r="A32" s="8" t="str">
        <f aca="false">RSSI_Samples!A32</f>
        <v>C103</v>
      </c>
      <c r="B32" s="8" t="n">
        <f aca="false">RSSI_Samples!B32</f>
        <v>16</v>
      </c>
      <c r="C32" s="7" t="n">
        <f aca="false">LOG10(B32)</f>
        <v>1.20411998265592</v>
      </c>
      <c r="D32" s="7" t="n">
        <f aca="false">RSSI_Samples!N32</f>
        <v>-33.021</v>
      </c>
      <c r="E32" s="8" t="n">
        <f aca="false">RSSI_Samples!B18</f>
        <v>2</v>
      </c>
      <c r="F32" s="7" t="n">
        <f aca="false">RSSI_Samples!N18</f>
        <v>-67.019</v>
      </c>
      <c r="G32" s="7" t="n">
        <f aca="false">F32-20*(LOG10(B32)-LOG10(E32))</f>
        <v>-85.0807997398389</v>
      </c>
      <c r="H32" s="7" t="n">
        <f aca="false">D32-G32</f>
        <v>52.0597997398389</v>
      </c>
    </row>
    <row r="34" customFormat="false" ht="26.85" hidden="false" customHeight="false" outlineLevel="0" collapsed="false">
      <c r="A34" s="8" t="str">
        <f aca="false">RSSI_Samples!A34</f>
        <v>Passage (btwn C102 &amp; C103)</v>
      </c>
      <c r="B34" s="8" t="n">
        <f aca="false">RSSI_Samples!B34</f>
        <v>1</v>
      </c>
      <c r="C34" s="7" t="n">
        <f aca="false">LOG10(B34)</f>
        <v>0</v>
      </c>
      <c r="D34" s="7" t="n">
        <f aca="false">RSSI_Samples!N34</f>
        <v>-49.019</v>
      </c>
      <c r="E34" s="8" t="n">
        <f aca="false">RSSI_Samples!B34</f>
        <v>1</v>
      </c>
      <c r="F34" s="7" t="n">
        <f aca="false">RSSI_Samples!N34</f>
        <v>-49.019</v>
      </c>
      <c r="G34" s="7" t="n">
        <f aca="false">F34-20*(LOG10(B34)-LOG10(E34))</f>
        <v>-49.019</v>
      </c>
      <c r="H34" s="7" t="n">
        <f aca="false">D34-G34</f>
        <v>0</v>
      </c>
    </row>
    <row r="35" customFormat="false" ht="26.85" hidden="false" customHeight="false" outlineLevel="0" collapsed="false">
      <c r="A35" s="8" t="str">
        <f aca="false">RSSI_Samples!A35</f>
        <v>Passage (btwn C102 &amp; C103)</v>
      </c>
      <c r="B35" s="8" t="n">
        <f aca="false">RSSI_Samples!B35</f>
        <v>2</v>
      </c>
      <c r="C35" s="7" t="n">
        <f aca="false">LOG10(B35)</f>
        <v>0.301029995663981</v>
      </c>
      <c r="D35" s="7" t="n">
        <f aca="false">RSSI_Samples!N35</f>
        <v>-56.017</v>
      </c>
      <c r="E35" s="8" t="n">
        <f aca="false">RSSI_Samples!B34</f>
        <v>1</v>
      </c>
      <c r="F35" s="7" t="n">
        <f aca="false">RSSI_Samples!N34</f>
        <v>-49.019</v>
      </c>
      <c r="G35" s="7" t="n">
        <f aca="false">F35-20*(LOG10(B35)-LOG10(E35))</f>
        <v>-55.0395999132796</v>
      </c>
      <c r="H35" s="7" t="n">
        <f aca="false">D35-G35</f>
        <v>-0.977400086720373</v>
      </c>
    </row>
    <row r="36" customFormat="false" ht="26.85" hidden="false" customHeight="false" outlineLevel="0" collapsed="false">
      <c r="A36" s="8" t="str">
        <f aca="false">RSSI_Samples!A36</f>
        <v>Passage (btwn C102 &amp; C103)</v>
      </c>
      <c r="B36" s="8" t="n">
        <f aca="false">RSSI_Samples!B36</f>
        <v>3</v>
      </c>
      <c r="C36" s="7" t="n">
        <f aca="false">LOG10(B36)</f>
        <v>0.477121254719662</v>
      </c>
      <c r="D36" s="7" t="n">
        <f aca="false">RSSI_Samples!N36</f>
        <v>-62.021</v>
      </c>
      <c r="E36" s="8" t="n">
        <f aca="false">RSSI_Samples!B34</f>
        <v>1</v>
      </c>
      <c r="F36" s="7" t="n">
        <f aca="false">RSSI_Samples!N34</f>
        <v>-49.019</v>
      </c>
      <c r="G36" s="7" t="n">
        <f aca="false">F36-20*(LOG10(B36)-LOG10(E36))</f>
        <v>-58.5614250943932</v>
      </c>
      <c r="H36" s="7" t="n">
        <f aca="false">D36-G36</f>
        <v>-3.45957490560676</v>
      </c>
    </row>
    <row r="37" customFormat="false" ht="26.85" hidden="false" customHeight="false" outlineLevel="0" collapsed="false">
      <c r="A37" s="8" t="str">
        <f aca="false">RSSI_Samples!A37</f>
        <v>Passage (btwn C102 &amp; C103)</v>
      </c>
      <c r="B37" s="8" t="n">
        <f aca="false">RSSI_Samples!B37</f>
        <v>4</v>
      </c>
      <c r="C37" s="7" t="n">
        <f aca="false">LOG10(B37)</f>
        <v>0.602059991327962</v>
      </c>
      <c r="D37" s="7" t="n">
        <f aca="false">RSSI_Samples!N37</f>
        <v>-58.017</v>
      </c>
      <c r="E37" s="8" t="n">
        <f aca="false">RSSI_Samples!B34</f>
        <v>1</v>
      </c>
      <c r="F37" s="7" t="n">
        <f aca="false">RSSI_Samples!N34</f>
        <v>-49.019</v>
      </c>
      <c r="G37" s="7" t="n">
        <f aca="false">F37-20*(LOG10(B37)-LOG10(E37))</f>
        <v>-61.0601998265593</v>
      </c>
      <c r="H37" s="7" t="n">
        <f aca="false">D37-G37</f>
        <v>3.04319982655925</v>
      </c>
    </row>
    <row r="38" customFormat="false" ht="26.85" hidden="false" customHeight="false" outlineLevel="0" collapsed="false">
      <c r="A38" s="8" t="str">
        <f aca="false">RSSI_Samples!A38</f>
        <v>Passage (btwn C102 &amp; C103)</v>
      </c>
      <c r="B38" s="8" t="n">
        <f aca="false">RSSI_Samples!B38</f>
        <v>5</v>
      </c>
      <c r="C38" s="7" t="n">
        <f aca="false">LOG10(B38)</f>
        <v>0.698970004336019</v>
      </c>
      <c r="D38" s="7" t="n">
        <f aca="false">RSSI_Samples!N38</f>
        <v>-61.019</v>
      </c>
      <c r="E38" s="8" t="n">
        <f aca="false">RSSI_Samples!B34</f>
        <v>1</v>
      </c>
      <c r="F38" s="7" t="n">
        <f aca="false">RSSI_Samples!N34</f>
        <v>-49.019</v>
      </c>
      <c r="G38" s="7" t="n">
        <f aca="false">F38-20*(LOG10(B38)-LOG10(E38))</f>
        <v>-62.9984000867204</v>
      </c>
      <c r="H38" s="7" t="n">
        <f aca="false">D38-G38</f>
        <v>1.97940008672037</v>
      </c>
    </row>
    <row r="39" customFormat="false" ht="26.85" hidden="false" customHeight="false" outlineLevel="0" collapsed="false">
      <c r="A39" s="8" t="str">
        <f aca="false">RSSI_Samples!A39</f>
        <v>Passage (btwn C102 &amp; C103)</v>
      </c>
      <c r="B39" s="8" t="n">
        <f aca="false">RSSI_Samples!B39</f>
        <v>6</v>
      </c>
      <c r="C39" s="7" t="n">
        <f aca="false">LOG10(B39)</f>
        <v>0.778151250383644</v>
      </c>
      <c r="D39" s="7" t="n">
        <f aca="false">RSSI_Samples!N39</f>
        <v>-69.017</v>
      </c>
      <c r="E39" s="8" t="n">
        <f aca="false">RSSI_Samples!B34</f>
        <v>1</v>
      </c>
      <c r="F39" s="7" t="n">
        <f aca="false">RSSI_Samples!N34</f>
        <v>-49.019</v>
      </c>
      <c r="G39" s="7" t="n">
        <f aca="false">F39-20*(LOG10(B39)-LOG10(E39))</f>
        <v>-64.5820250076729</v>
      </c>
      <c r="H39" s="7" t="n">
        <f aca="false">D39-G39</f>
        <v>-4.43497499232713</v>
      </c>
    </row>
    <row r="40" customFormat="false" ht="26.85" hidden="false" customHeight="false" outlineLevel="0" collapsed="false">
      <c r="A40" s="8" t="str">
        <f aca="false">RSSI_Samples!A40</f>
        <v>Passage (btwn C102 &amp; C103)</v>
      </c>
      <c r="B40" s="8" t="n">
        <f aca="false">RSSI_Samples!B40</f>
        <v>7</v>
      </c>
      <c r="C40" s="7" t="n">
        <f aca="false">LOG10(B40)</f>
        <v>0.845098040014257</v>
      </c>
      <c r="D40" s="7" t="n">
        <f aca="false">RSSI_Samples!N40</f>
        <v>-66.021</v>
      </c>
      <c r="E40" s="8" t="n">
        <f aca="false">RSSI_Samples!B34</f>
        <v>1</v>
      </c>
      <c r="F40" s="7" t="n">
        <f aca="false">RSSI_Samples!N34</f>
        <v>-49.019</v>
      </c>
      <c r="G40" s="7" t="n">
        <f aca="false">F40-20*(LOG10(B40)-LOG10(E40))</f>
        <v>-65.9209608002851</v>
      </c>
      <c r="H40" s="7" t="n">
        <f aca="false">D40-G40</f>
        <v>-0.100039199714871</v>
      </c>
    </row>
    <row r="41" customFormat="false" ht="26.85" hidden="false" customHeight="false" outlineLevel="0" collapsed="false">
      <c r="A41" s="8" t="str">
        <f aca="false">RSSI_Samples!A41</f>
        <v>Passage (btwn C102 &amp; C103)</v>
      </c>
      <c r="B41" s="8" t="n">
        <f aca="false">RSSI_Samples!B41</f>
        <v>8</v>
      </c>
      <c r="C41" s="7" t="n">
        <f aca="false">LOG10(B41)</f>
        <v>0.903089986991944</v>
      </c>
      <c r="D41" s="7" t="n">
        <f aca="false">RSSI_Samples!N41</f>
        <v>-73.017</v>
      </c>
      <c r="E41" s="8" t="n">
        <f aca="false">RSSI_Samples!B34</f>
        <v>1</v>
      </c>
      <c r="F41" s="7" t="n">
        <f aca="false">RSSI_Samples!N34</f>
        <v>-49.019</v>
      </c>
      <c r="G41" s="7" t="n">
        <f aca="false">F41-20*(LOG10(B41)-LOG10(E41))</f>
        <v>-67.0807997398389</v>
      </c>
      <c r="H41" s="7" t="n">
        <f aca="false">D41-G41</f>
        <v>-5.93620026016113</v>
      </c>
    </row>
    <row r="42" customFormat="false" ht="26.85" hidden="false" customHeight="false" outlineLevel="0" collapsed="false">
      <c r="A42" s="8" t="str">
        <f aca="false">RSSI_Samples!A42</f>
        <v>Passage (btwn C102 &amp; C103)</v>
      </c>
      <c r="B42" s="8" t="n">
        <f aca="false">RSSI_Samples!B42</f>
        <v>9</v>
      </c>
      <c r="C42" s="7" t="n">
        <f aca="false">LOG10(B42)</f>
        <v>0.954242509439325</v>
      </c>
      <c r="D42" s="7" t="n">
        <f aca="false">RSSI_Samples!N42</f>
        <v>-75.919</v>
      </c>
      <c r="E42" s="8" t="n">
        <f aca="false">RSSI_Samples!B34</f>
        <v>1</v>
      </c>
      <c r="F42" s="7" t="n">
        <f aca="false">RSSI_Samples!N34</f>
        <v>-49.019</v>
      </c>
      <c r="G42" s="7" t="n">
        <f aca="false">F42-20*(LOG10(B42)-LOG10(E42))</f>
        <v>-68.1038501887865</v>
      </c>
      <c r="H42" s="7" t="n">
        <f aca="false">D42-G42</f>
        <v>-7.81514981121352</v>
      </c>
    </row>
    <row r="43" customFormat="false" ht="26.85" hidden="false" customHeight="false" outlineLevel="0" collapsed="false">
      <c r="A43" s="8" t="str">
        <f aca="false">RSSI_Samples!A43</f>
        <v>Passage (btwn C102 &amp; C103)</v>
      </c>
      <c r="B43" s="8" t="n">
        <f aca="false">RSSI_Samples!B43</f>
        <v>10</v>
      </c>
      <c r="C43" s="7" t="n">
        <f aca="false">LOG10(B43)</f>
        <v>1</v>
      </c>
      <c r="D43" s="7" t="n">
        <f aca="false">RSSI_Samples!N43</f>
        <v>-74.017</v>
      </c>
      <c r="E43" s="8" t="n">
        <f aca="false">RSSI_Samples!B34</f>
        <v>1</v>
      </c>
      <c r="F43" s="7" t="n">
        <f aca="false">RSSI_Samples!N34</f>
        <v>-49.019</v>
      </c>
      <c r="G43" s="7" t="n">
        <f aca="false">F43-20*(LOG10(B43)-LOG10(E43))</f>
        <v>-69.019</v>
      </c>
      <c r="H43" s="7" t="n">
        <f aca="false">D43-G43</f>
        <v>-4.99799999999999</v>
      </c>
    </row>
    <row r="44" customFormat="false" ht="26.85" hidden="false" customHeight="false" outlineLevel="0" collapsed="false">
      <c r="A44" s="8" t="str">
        <f aca="false">RSSI_Samples!A44</f>
        <v>Passage (btwn C102 &amp; C103)</v>
      </c>
      <c r="B44" s="8" t="n">
        <f aca="false">RSSI_Samples!B44</f>
        <v>11</v>
      </c>
      <c r="C44" s="7" t="n">
        <f aca="false">LOG10(B44)</f>
        <v>1.04139268515823</v>
      </c>
      <c r="D44" s="7" t="n">
        <f aca="false">RSSI_Samples!N44</f>
        <v>-76.021</v>
      </c>
      <c r="E44" s="8" t="n">
        <f aca="false">RSSI_Samples!B34</f>
        <v>1</v>
      </c>
      <c r="F44" s="7" t="n">
        <f aca="false">RSSI_Samples!N34</f>
        <v>-49.019</v>
      </c>
      <c r="G44" s="7" t="n">
        <f aca="false">F44-20*(LOG10(B44)-LOG10(E44))</f>
        <v>-69.8468537031645</v>
      </c>
      <c r="H44" s="7" t="n">
        <f aca="false">D44-G44</f>
        <v>-6.1741462968355</v>
      </c>
    </row>
    <row r="45" customFormat="false" ht="26.85" hidden="false" customHeight="false" outlineLevel="0" collapsed="false">
      <c r="A45" s="8" t="str">
        <f aca="false">RSSI_Samples!A45</f>
        <v>Passage (btwn C102 &amp; C103)</v>
      </c>
      <c r="B45" s="8" t="n">
        <f aca="false">RSSI_Samples!B45</f>
        <v>12</v>
      </c>
      <c r="C45" s="7" t="n">
        <f aca="false">LOG10(B45)</f>
        <v>1.07918124604762</v>
      </c>
      <c r="D45" s="7" t="n">
        <f aca="false">RSSI_Samples!N45</f>
        <v>-79.017</v>
      </c>
      <c r="E45" s="8" t="n">
        <f aca="false">RSSI_Samples!B34</f>
        <v>1</v>
      </c>
      <c r="F45" s="7" t="n">
        <f aca="false">RSSI_Samples!N34</f>
        <v>-49.019</v>
      </c>
      <c r="G45" s="7" t="n">
        <f aca="false">F45-20*(LOG10(B45)-LOG10(E45))</f>
        <v>-70.6026249209525</v>
      </c>
      <c r="H45" s="7" t="n">
        <f aca="false">D45-G45</f>
        <v>-8.4143750790475</v>
      </c>
    </row>
    <row r="46" customFormat="false" ht="26.85" hidden="false" customHeight="false" outlineLevel="0" collapsed="false">
      <c r="A46" s="8" t="str">
        <f aca="false">RSSI_Samples!A46</f>
        <v>Passage (btwn C102 &amp; C103)</v>
      </c>
      <c r="B46" s="8" t="n">
        <f aca="false">RSSI_Samples!B46</f>
        <v>13</v>
      </c>
      <c r="C46" s="7" t="n">
        <f aca="false">LOG10(B46)</f>
        <v>1.11394335230684</v>
      </c>
      <c r="D46" s="7" t="n">
        <f aca="false">RSSI_Samples!N46</f>
        <v>-83.019</v>
      </c>
      <c r="E46" s="8" t="n">
        <f aca="false">RSSI_Samples!B34</f>
        <v>1</v>
      </c>
      <c r="F46" s="7" t="n">
        <f aca="false">RSSI_Samples!N34</f>
        <v>-49.019</v>
      </c>
      <c r="G46" s="7" t="n">
        <f aca="false">F46-20*(LOG10(B46)-LOG10(E46))</f>
        <v>-71.2978670461367</v>
      </c>
      <c r="H46" s="7" t="n">
        <f aca="false">D46-G46</f>
        <v>-11.7211329538633</v>
      </c>
    </row>
    <row r="47" customFormat="false" ht="26.85" hidden="false" customHeight="false" outlineLevel="0" collapsed="false">
      <c r="A47" s="8" t="str">
        <f aca="false">RSSI_Samples!A47</f>
        <v>Passage (btwn C102 &amp; C103)</v>
      </c>
      <c r="B47" s="8" t="n">
        <f aca="false">RSSI_Samples!B47</f>
        <v>14</v>
      </c>
      <c r="C47" s="7" t="n">
        <f aca="false">LOG10(B47)</f>
        <v>1.14612803567824</v>
      </c>
      <c r="D47" s="7" t="n">
        <f aca="false">RSSI_Samples!N47</f>
        <v>-77.019</v>
      </c>
      <c r="E47" s="8" t="n">
        <f aca="false">RSSI_Samples!B34</f>
        <v>1</v>
      </c>
      <c r="F47" s="7" t="n">
        <f aca="false">RSSI_Samples!N34</f>
        <v>-49.019</v>
      </c>
      <c r="G47" s="7" t="n">
        <f aca="false">F47-20*(LOG10(B47)-LOG10(E47))</f>
        <v>-71.9415607135648</v>
      </c>
      <c r="H47" s="7" t="n">
        <f aca="false">D47-G47</f>
        <v>-5.07743928643525</v>
      </c>
    </row>
    <row r="48" customFormat="false" ht="26.85" hidden="false" customHeight="false" outlineLevel="0" collapsed="false">
      <c r="A48" s="8" t="str">
        <f aca="false">RSSI_Samples!A48</f>
        <v>Passage (btwn C102 &amp; C103)</v>
      </c>
      <c r="B48" s="8" t="n">
        <f aca="false">RSSI_Samples!B48</f>
        <v>15</v>
      </c>
      <c r="C48" s="7" t="n">
        <f aca="false">LOG10(B48)</f>
        <v>1.17609125905568</v>
      </c>
      <c r="D48" s="7" t="n">
        <f aca="false">RSSI_Samples!N48</f>
        <v>-80.021</v>
      </c>
      <c r="E48" s="8" t="n">
        <f aca="false">RSSI_Samples!B34</f>
        <v>1</v>
      </c>
      <c r="F48" s="7" t="n">
        <f aca="false">RSSI_Samples!N34</f>
        <v>-49.019</v>
      </c>
      <c r="G48" s="7" t="n">
        <f aca="false">F48-20*(LOG10(B48)-LOG10(E48))</f>
        <v>-72.5408251811136</v>
      </c>
      <c r="H48" s="7" t="n">
        <f aca="false">D48-G48</f>
        <v>-7.48017481888637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8"/>
    <col collapsed="false" customWidth="true" hidden="false" outlineLevel="0" max="4" min="4" style="0" width="24"/>
    <col collapsed="false" customWidth="true" hidden="false" outlineLevel="0" max="5" min="5" style="0" width="22"/>
    <col collapsed="false" customWidth="true" hidden="false" outlineLevel="0" max="6" min="6" style="0" width="30"/>
    <col collapsed="false" customWidth="true" hidden="false" outlineLevel="0" max="7" min="7" style="0" width="20"/>
    <col collapsed="false" customWidth="true" hidden="false" outlineLevel="0" max="8" min="8" style="0" width="32"/>
  </cols>
  <sheetData>
    <row r="1" customFormat="false" ht="26.85" hidden="false" customHeight="false" outlineLevel="0" collapsed="false">
      <c r="A1" s="5" t="s">
        <v>17</v>
      </c>
      <c r="B1" s="5" t="s">
        <v>48</v>
      </c>
      <c r="C1" s="5" t="s">
        <v>49</v>
      </c>
      <c r="D1" s="5" t="s">
        <v>50</v>
      </c>
      <c r="E1" s="5" t="s">
        <v>51</v>
      </c>
      <c r="F1" s="5" t="s">
        <v>52</v>
      </c>
      <c r="G1" s="5" t="s">
        <v>53</v>
      </c>
      <c r="H1" s="5" t="s">
        <v>54</v>
      </c>
    </row>
    <row r="2" customFormat="false" ht="15" hidden="false" customHeight="false" outlineLevel="0" collapsed="false">
      <c r="A2" s="6" t="s">
        <v>34</v>
      </c>
      <c r="B2" s="6" t="n">
        <v>15</v>
      </c>
      <c r="C2" s="6" t="s">
        <v>55</v>
      </c>
      <c r="D2" s="7" t="n">
        <f aca="false">SLOPE(FSPL_Analysis!D2:D16,FSPL_Analysis!C2:C16)</f>
        <v>-13.6981023734827</v>
      </c>
      <c r="E2" s="7" t="n">
        <f aca="false">INTERCEPT(FSPL_Analysis!D2:D16,FSPL_Analysis!C2:C16)</f>
        <v>-52.2889298612379</v>
      </c>
      <c r="F2" s="7" t="n">
        <f aca="false">-D2/10</f>
        <v>1.36981023734827</v>
      </c>
      <c r="G2" s="6" t="n">
        <v>2</v>
      </c>
      <c r="H2" s="7" t="n">
        <f aca="false">SUMPRODUCT(ABS(FSPL_Analysis!H2:H16))/COUNT(FSPL_Analysis!H2:H16)</f>
        <v>4.88348801526527</v>
      </c>
    </row>
    <row r="3" customFormat="false" ht="15" hidden="false" customHeight="false" outlineLevel="0" collapsed="false">
      <c r="A3" s="6" t="s">
        <v>35</v>
      </c>
      <c r="B3" s="6" t="n">
        <v>15</v>
      </c>
      <c r="C3" s="6" t="s">
        <v>56</v>
      </c>
      <c r="D3" s="7" t="n">
        <f aca="false">SLOPE(FSPL_Analysis!D18:D32,FSPL_Analysis!C18:C32)</f>
        <v>0.747547295717996</v>
      </c>
      <c r="E3" s="7" t="n">
        <f aca="false">INTERCEPT(FSPL_Analysis!D18:D32,FSPL_Analysis!C18:C32)</f>
        <v>-61.8159862103079</v>
      </c>
      <c r="F3" s="7" t="n">
        <f aca="false">-D3/10</f>
        <v>-0.0747547295717996</v>
      </c>
      <c r="G3" s="6" t="n">
        <v>2</v>
      </c>
      <c r="H3" s="7" t="n">
        <f aca="false">SUMPRODUCT(ABS(FSPL_Analysis!H18:H32))/COUNT(FSPL_Analysis!H18:H32)</f>
        <v>17.6070928784261</v>
      </c>
    </row>
    <row r="4" customFormat="false" ht="26.85" hidden="false" customHeight="false" outlineLevel="0" collapsed="false">
      <c r="A4" s="6" t="s">
        <v>36</v>
      </c>
      <c r="B4" s="6" t="n">
        <v>15</v>
      </c>
      <c r="C4" s="6" t="s">
        <v>55</v>
      </c>
      <c r="D4" s="7" t="n">
        <f aca="false">SLOPE(FSPL_Analysis!D34:D48,FSPL_Analysis!C34:C48)</f>
        <v>-28.382001953307</v>
      </c>
      <c r="E4" s="7" t="n">
        <f aca="false">INTERCEPT(FSPL_Analysis!D34:D48,FSPL_Analysis!C34:C48)</f>
        <v>-46.3526989579901</v>
      </c>
      <c r="F4" s="7" t="n">
        <f aca="false">-D4/10</f>
        <v>2.8382001953307</v>
      </c>
      <c r="G4" s="6" t="n">
        <v>2</v>
      </c>
      <c r="H4" s="7" t="n">
        <f aca="false">SUMPRODUCT(ABS(FSPL_Analysis!H34:H48))/COUNT(FSPL_Analysis!H34:H48)</f>
        <v>4.77408050693942</v>
      </c>
    </row>
    <row r="6" customFormat="false" ht="15" hidden="false" customHeight="false" outlineLevel="0" collapsed="false">
      <c r="A6" s="9" t="s">
        <v>57</v>
      </c>
      <c r="B6" s="9"/>
      <c r="C6" s="9"/>
      <c r="D6" s="9"/>
      <c r="E6" s="9"/>
      <c r="F6" s="9"/>
      <c r="G6" s="9"/>
      <c r="H6" s="9"/>
    </row>
  </sheetData>
  <mergeCells count="1">
    <mergeCell ref="A6:H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2026-07-30T16:27:09Z</dcterms:created>
  <dc:creator>openpyxl</dc:creator>
  <dc:description/>
  <dc:language>en-US</dc:language>
  <cp:lastModifiedBy/>
  <dcterms:modified xsi:type="dcterms:W3CDTF">2026-07-30T16:27:09Z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